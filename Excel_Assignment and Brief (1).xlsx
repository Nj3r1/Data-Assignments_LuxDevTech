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e\Downloads\"/>
    </mc:Choice>
  </mc:AlternateContent>
  <xr:revisionPtr revIDLastSave="0" documentId="13_ncr:1_{B0CF4B27-AB12-4F04-99AD-E6591CB49C39}" xr6:coauthVersionLast="36" xr6:coauthVersionMax="36" xr10:uidLastSave="{00000000-0000-0000-0000-000000000000}"/>
  <bookViews>
    <workbookView xWindow="0" yWindow="0" windowWidth="11265" windowHeight="4725" activeTab="1" xr2:uid="{00000000-000D-0000-FFFF-FFFF00000000}"/>
  </bookViews>
  <sheets>
    <sheet name="Original Data" sheetId="5" r:id="rId1"/>
    <sheet name="Brief" sheetId="2" r:id="rId2"/>
    <sheet name="Analysis" sheetId="13" r:id="rId3"/>
    <sheet name="Correct Staging Data" sheetId="7" r:id="rId4"/>
    <sheet name="Monthly revenue" sheetId="12" r:id="rId5"/>
    <sheet name="Summation" sheetId="4" r:id="rId6"/>
  </sheets>
  <externalReferences>
    <externalReference r:id="rId7"/>
  </externalReferences>
  <definedNames>
    <definedName name="_xlnm._FilterDatabase" localSheetId="3" hidden="1">'Correct Staging Data'!$A$1:$W$633</definedName>
    <definedName name="_xlnm._FilterDatabase" localSheetId="0" hidden="1">'Original Data'!$M$1:$M$633</definedName>
    <definedName name="_xlcn.WorksheetConnection_DataC1O6331" hidden="1">'[1]Cleaned Data'!$C$1:$Q$633</definedName>
  </definedNames>
  <calcPr calcId="191029"/>
  <pivotCaches>
    <pivotCache cacheId="8" r:id="rId8"/>
    <pivotCache cacheId="17" r:id="rId9"/>
  </pivotCaches>
  <fileRecoveryPr repairLoad="1"/>
  <extLst>
    <ext xmlns:x15="http://schemas.microsoft.com/office/spreadsheetml/2010/11/main" uri="{FCE2AD5D-F65C-4FA6-A056-5C36A1767C68}">
      <x15:dataModel>
        <x15:modelTables>
          <x15:modelTable id="Range" name="Range" connection="WorksheetConnection_Data!$C$1:$O$633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RequiredDate" columnId="RequiredDate">
                <x16:calculatedTimeColumn columnName="RequiredDate (Year)" columnId="RequiredDate (Year)" contentType="years" isSelected="1"/>
                <x16:calculatedTimeColumn columnName="RequiredDate (Quarter)" columnId="RequiredDate (Quarter)" contentType="quarters" isSelected="1"/>
                <x16:calculatedTimeColumn columnName="RequiredDate (Month Index)" columnId="RequiredDate (Month Index)" contentType="monthsindex" isSelected="1"/>
                <x16:calculatedTimeColumn columnName="RequiredDate (Month)" columnId="Required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M3" i="7" l="1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2" i="7"/>
  <c r="S634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2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2" i="7"/>
  <c r="T304" i="7" l="1"/>
  <c r="T2" i="7"/>
  <c r="T305" i="7"/>
  <c r="T3" i="7"/>
  <c r="T4" i="7"/>
  <c r="T147" i="7"/>
  <c r="T476" i="7"/>
  <c r="T148" i="7"/>
  <c r="T149" i="7"/>
  <c r="T306" i="7"/>
  <c r="T5" i="7"/>
  <c r="T150" i="7"/>
  <c r="T307" i="7"/>
  <c r="T308" i="7"/>
  <c r="T151" i="7"/>
  <c r="T152" i="7"/>
  <c r="T477" i="7"/>
  <c r="T6" i="7"/>
  <c r="T7" i="7"/>
  <c r="T309" i="7"/>
  <c r="T310" i="7"/>
  <c r="T8" i="7"/>
  <c r="T153" i="7"/>
  <c r="T478" i="7"/>
  <c r="T479" i="7"/>
  <c r="T154" i="7"/>
  <c r="T155" i="7"/>
  <c r="T311" i="7"/>
  <c r="T156" i="7"/>
  <c r="T9" i="7"/>
  <c r="T312" i="7"/>
  <c r="T480" i="7"/>
  <c r="T157" i="7"/>
  <c r="T313" i="7"/>
  <c r="T314" i="7"/>
  <c r="T158" i="7"/>
  <c r="T315" i="7"/>
  <c r="T481" i="7"/>
  <c r="T316" i="7"/>
  <c r="T317" i="7"/>
  <c r="T159" i="7"/>
  <c r="T10" i="7"/>
  <c r="T318" i="7"/>
  <c r="T11" i="7"/>
  <c r="T319" i="7"/>
  <c r="T482" i="7"/>
  <c r="T12" i="7"/>
  <c r="T483" i="7"/>
  <c r="T484" i="7"/>
  <c r="T13" i="7"/>
  <c r="T320" i="7"/>
  <c r="T485" i="7"/>
  <c r="T321" i="7"/>
  <c r="T14" i="7"/>
  <c r="T15" i="7"/>
  <c r="T16" i="7"/>
  <c r="T160" i="7"/>
  <c r="T17" i="7"/>
  <c r="T18" i="7"/>
  <c r="T19" i="7"/>
  <c r="T161" i="7"/>
  <c r="T162" i="7"/>
  <c r="T486" i="7"/>
  <c r="T20" i="7"/>
  <c r="T487" i="7"/>
  <c r="T488" i="7"/>
  <c r="T489" i="7"/>
  <c r="T322" i="7"/>
  <c r="T490" i="7"/>
  <c r="T323" i="7"/>
  <c r="T324" i="7"/>
  <c r="T325" i="7"/>
  <c r="T163" i="7"/>
  <c r="T491" i="7"/>
  <c r="T326" i="7"/>
  <c r="T164" i="7"/>
  <c r="T327" i="7"/>
  <c r="T328" i="7"/>
  <c r="T329" i="7"/>
  <c r="T21" i="7"/>
  <c r="T330" i="7"/>
  <c r="T331" i="7"/>
  <c r="T492" i="7"/>
  <c r="T22" i="7"/>
  <c r="T23" i="7"/>
  <c r="T493" i="7"/>
  <c r="T494" i="7"/>
  <c r="T165" i="7"/>
  <c r="T495" i="7"/>
  <c r="T332" i="7"/>
  <c r="T166" i="7"/>
  <c r="T496" i="7"/>
  <c r="T167" i="7"/>
  <c r="T497" i="7"/>
  <c r="T333" i="7"/>
  <c r="T24" i="7"/>
  <c r="T498" i="7"/>
  <c r="T499" i="7"/>
  <c r="T334" i="7"/>
  <c r="T25" i="7"/>
  <c r="T168" i="7"/>
  <c r="T169" i="7"/>
  <c r="T500" i="7"/>
  <c r="T501" i="7"/>
  <c r="T26" i="7"/>
  <c r="T335" i="7"/>
  <c r="T27" i="7"/>
  <c r="T502" i="7"/>
  <c r="T336" i="7"/>
  <c r="T503" i="7"/>
  <c r="T337" i="7"/>
  <c r="T338" i="7"/>
  <c r="T339" i="7"/>
  <c r="T504" i="7"/>
  <c r="T28" i="7"/>
  <c r="T340" i="7"/>
  <c r="T170" i="7"/>
  <c r="T341" i="7"/>
  <c r="T29" i="7"/>
  <c r="T30" i="7"/>
  <c r="T342" i="7"/>
  <c r="T31" i="7"/>
  <c r="T171" i="7"/>
  <c r="T505" i="7"/>
  <c r="T506" i="7"/>
  <c r="T343" i="7"/>
  <c r="T32" i="7"/>
  <c r="T172" i="7"/>
  <c r="T33" i="7"/>
  <c r="T507" i="7"/>
  <c r="T173" i="7"/>
  <c r="T508" i="7"/>
  <c r="T344" i="7"/>
  <c r="T34" i="7"/>
  <c r="T509" i="7"/>
  <c r="T35" i="7"/>
  <c r="T36" i="7"/>
  <c r="T37" i="7"/>
  <c r="T345" i="7"/>
  <c r="T510" i="7"/>
  <c r="T174" i="7"/>
  <c r="T38" i="7"/>
  <c r="T346" i="7"/>
  <c r="T175" i="7"/>
  <c r="T511" i="7"/>
  <c r="T347" i="7"/>
  <c r="T176" i="7"/>
  <c r="T512" i="7"/>
  <c r="T348" i="7"/>
  <c r="T349" i="7"/>
  <c r="T39" i="7"/>
  <c r="T177" i="7"/>
  <c r="T178" i="7"/>
  <c r="T179" i="7"/>
  <c r="T40" i="7"/>
  <c r="T350" i="7"/>
  <c r="T41" i="7"/>
  <c r="T513" i="7"/>
  <c r="T351" i="7"/>
  <c r="T180" i="7"/>
  <c r="T181" i="7"/>
  <c r="T514" i="7"/>
  <c r="T42" i="7"/>
  <c r="T352" i="7"/>
  <c r="T515" i="7"/>
  <c r="T516" i="7"/>
  <c r="T182" i="7"/>
  <c r="T183" i="7"/>
  <c r="T517" i="7"/>
  <c r="T184" i="7"/>
  <c r="T353" i="7"/>
  <c r="T354" i="7"/>
  <c r="T185" i="7"/>
  <c r="T518" i="7"/>
  <c r="T519" i="7"/>
  <c r="T186" i="7"/>
  <c r="T43" i="7"/>
  <c r="T355" i="7"/>
  <c r="T520" i="7"/>
  <c r="T356" i="7"/>
  <c r="T44" i="7"/>
  <c r="T187" i="7"/>
  <c r="T188" i="7"/>
  <c r="T45" i="7"/>
  <c r="T521" i="7"/>
  <c r="T189" i="7"/>
  <c r="T46" i="7"/>
  <c r="T357" i="7"/>
  <c r="T522" i="7"/>
  <c r="T523" i="7"/>
  <c r="T358" i="7"/>
  <c r="T190" i="7"/>
  <c r="T359" i="7"/>
  <c r="T47" i="7"/>
  <c r="T524" i="7"/>
  <c r="T525" i="7"/>
  <c r="T360" i="7"/>
  <c r="T361" i="7"/>
  <c r="T191" i="7"/>
  <c r="T48" i="7"/>
  <c r="T362" i="7"/>
  <c r="T49" i="7"/>
  <c r="T192" i="7"/>
  <c r="T526" i="7"/>
  <c r="T193" i="7"/>
  <c r="T363" i="7"/>
  <c r="T50" i="7"/>
  <c r="T527" i="7"/>
  <c r="T528" i="7"/>
  <c r="T364" i="7"/>
  <c r="T529" i="7"/>
  <c r="T194" i="7"/>
  <c r="T195" i="7"/>
  <c r="T530" i="7"/>
  <c r="T365" i="7"/>
  <c r="T196" i="7"/>
  <c r="T531" i="7"/>
  <c r="T366" i="7"/>
  <c r="T51" i="7"/>
  <c r="T197" i="7"/>
  <c r="T367" i="7"/>
  <c r="T198" i="7"/>
  <c r="T199" i="7"/>
  <c r="T52" i="7"/>
  <c r="T53" i="7"/>
  <c r="T54" i="7"/>
  <c r="T368" i="7"/>
  <c r="T200" i="7"/>
  <c r="T532" i="7"/>
  <c r="T369" i="7"/>
  <c r="T370" i="7"/>
  <c r="T55" i="7"/>
  <c r="T56" i="7"/>
  <c r="T201" i="7"/>
  <c r="T371" i="7"/>
  <c r="T372" i="7"/>
  <c r="T373" i="7"/>
  <c r="T533" i="7"/>
  <c r="T374" i="7"/>
  <c r="T57" i="7"/>
  <c r="T58" i="7"/>
  <c r="T375" i="7"/>
  <c r="T534" i="7"/>
  <c r="T535" i="7"/>
  <c r="T376" i="7"/>
  <c r="T59" i="7"/>
  <c r="T202" i="7"/>
  <c r="T377" i="7"/>
  <c r="T60" i="7"/>
  <c r="T203" i="7"/>
  <c r="T204" i="7"/>
  <c r="T536" i="7"/>
  <c r="T205" i="7"/>
  <c r="T537" i="7"/>
  <c r="T206" i="7"/>
  <c r="T378" i="7"/>
  <c r="T379" i="7"/>
  <c r="T61" i="7"/>
  <c r="T538" i="7"/>
  <c r="T207" i="7"/>
  <c r="T380" i="7"/>
  <c r="T208" i="7"/>
  <c r="T209" i="7"/>
  <c r="T210" i="7"/>
  <c r="T539" i="7"/>
  <c r="T381" i="7"/>
  <c r="T540" i="7"/>
  <c r="T62" i="7"/>
  <c r="T211" i="7"/>
  <c r="T63" i="7"/>
  <c r="T541" i="7"/>
  <c r="T382" i="7"/>
  <c r="T383" i="7"/>
  <c r="T64" i="7"/>
  <c r="T384" i="7"/>
  <c r="T212" i="7"/>
  <c r="T385" i="7"/>
  <c r="T65" i="7"/>
  <c r="T386" i="7"/>
  <c r="T66" i="7"/>
  <c r="T213" i="7"/>
  <c r="T542" i="7"/>
  <c r="T543" i="7"/>
  <c r="T387" i="7"/>
  <c r="T544" i="7"/>
  <c r="T545" i="7"/>
  <c r="T67" i="7"/>
  <c r="T546" i="7"/>
  <c r="T214" i="7"/>
  <c r="T547" i="7"/>
  <c r="T215" i="7"/>
  <c r="T68" i="7"/>
  <c r="T69" i="7"/>
  <c r="T70" i="7"/>
  <c r="T388" i="7"/>
  <c r="T216" i="7"/>
  <c r="T548" i="7"/>
  <c r="T389" i="7"/>
  <c r="T390" i="7"/>
  <c r="T391" i="7"/>
  <c r="T71" i="7"/>
  <c r="T217" i="7"/>
  <c r="T218" i="7"/>
  <c r="T72" i="7"/>
  <c r="T549" i="7"/>
  <c r="T219" i="7"/>
  <c r="T73" i="7"/>
  <c r="T74" i="7"/>
  <c r="T392" i="7"/>
  <c r="T75" i="7"/>
  <c r="T220" i="7"/>
  <c r="T221" i="7"/>
  <c r="T393" i="7"/>
  <c r="T394" i="7"/>
  <c r="T395" i="7"/>
  <c r="T396" i="7"/>
  <c r="T550" i="7"/>
  <c r="T222" i="7"/>
  <c r="T551" i="7"/>
  <c r="T76" i="7"/>
  <c r="T77" i="7"/>
  <c r="T397" i="7"/>
  <c r="T552" i="7"/>
  <c r="T398" i="7"/>
  <c r="T553" i="7"/>
  <c r="T554" i="7"/>
  <c r="T78" i="7"/>
  <c r="T399" i="7"/>
  <c r="T79" i="7"/>
  <c r="T555" i="7"/>
  <c r="T400" i="7"/>
  <c r="T401" i="7"/>
  <c r="T556" i="7"/>
  <c r="T80" i="7"/>
  <c r="T557" i="7"/>
  <c r="T402" i="7"/>
  <c r="T558" i="7"/>
  <c r="T223" i="7"/>
  <c r="T81" i="7"/>
  <c r="T82" i="7"/>
  <c r="T224" i="7"/>
  <c r="T559" i="7"/>
  <c r="T225" i="7"/>
  <c r="T560" i="7"/>
  <c r="T226" i="7"/>
  <c r="T83" i="7"/>
  <c r="T84" i="7"/>
  <c r="T85" i="7"/>
  <c r="T561" i="7"/>
  <c r="T86" i="7"/>
  <c r="T227" i="7"/>
  <c r="T87" i="7"/>
  <c r="T562" i="7"/>
  <c r="T563" i="7"/>
  <c r="T88" i="7"/>
  <c r="T228" i="7"/>
  <c r="T89" i="7"/>
  <c r="T403" i="7"/>
  <c r="T229" i="7"/>
  <c r="T404" i="7"/>
  <c r="T230" i="7"/>
  <c r="T405" i="7"/>
  <c r="T406" i="7"/>
  <c r="T231" i="7"/>
  <c r="T90" i="7"/>
  <c r="T91" i="7"/>
  <c r="T232" i="7"/>
  <c r="T564" i="7"/>
  <c r="T565" i="7"/>
  <c r="T407" i="7"/>
  <c r="T233" i="7"/>
  <c r="T408" i="7"/>
  <c r="T234" i="7"/>
  <c r="T92" i="7"/>
  <c r="T235" i="7"/>
  <c r="T409" i="7"/>
  <c r="T236" i="7"/>
  <c r="T410" i="7"/>
  <c r="T237" i="7"/>
  <c r="T411" i="7"/>
  <c r="T238" i="7"/>
  <c r="T412" i="7"/>
  <c r="T93" i="7"/>
  <c r="T94" i="7"/>
  <c r="T413" i="7"/>
  <c r="T566" i="7"/>
  <c r="T95" i="7"/>
  <c r="T239" i="7"/>
  <c r="T414" i="7"/>
  <c r="T240" i="7"/>
  <c r="T567" i="7"/>
  <c r="T568" i="7"/>
  <c r="T415" i="7"/>
  <c r="T96" i="7"/>
  <c r="T241" i="7"/>
  <c r="T416" i="7"/>
  <c r="T242" i="7"/>
  <c r="T417" i="7"/>
  <c r="T97" i="7"/>
  <c r="T418" i="7"/>
  <c r="T419" i="7"/>
  <c r="T420" i="7"/>
  <c r="T243" i="7"/>
  <c r="T569" i="7"/>
  <c r="T244" i="7"/>
  <c r="T421" i="7"/>
  <c r="T422" i="7"/>
  <c r="T245" i="7"/>
  <c r="T570" i="7"/>
  <c r="T246" i="7"/>
  <c r="T98" i="7"/>
  <c r="T423" i="7"/>
  <c r="T247" i="7"/>
  <c r="T248" i="7"/>
  <c r="T99" i="7"/>
  <c r="T100" i="7"/>
  <c r="T101" i="7"/>
  <c r="T571" i="7"/>
  <c r="T424" i="7"/>
  <c r="T572" i="7"/>
  <c r="T249" i="7"/>
  <c r="T425" i="7"/>
  <c r="T102" i="7"/>
  <c r="T103" i="7"/>
  <c r="T426" i="7"/>
  <c r="T250" i="7"/>
  <c r="T427" i="7"/>
  <c r="T104" i="7"/>
  <c r="T105" i="7"/>
  <c r="T106" i="7"/>
  <c r="T107" i="7"/>
  <c r="T428" i="7"/>
  <c r="T573" i="7"/>
  <c r="T251" i="7"/>
  <c r="T252" i="7"/>
  <c r="T429" i="7"/>
  <c r="T430" i="7"/>
  <c r="T108" i="7"/>
  <c r="T109" i="7"/>
  <c r="T253" i="7"/>
  <c r="T431" i="7"/>
  <c r="T254" i="7"/>
  <c r="T432" i="7"/>
  <c r="T433" i="7"/>
  <c r="T255" i="7"/>
  <c r="T574" i="7"/>
  <c r="T256" i="7"/>
  <c r="T434" i="7"/>
  <c r="T575" i="7"/>
  <c r="T110" i="7"/>
  <c r="T576" i="7"/>
  <c r="T111" i="7"/>
  <c r="T257" i="7"/>
  <c r="T577" i="7"/>
  <c r="T258" i="7"/>
  <c r="T578" i="7"/>
  <c r="T112" i="7"/>
  <c r="T113" i="7"/>
  <c r="T579" i="7"/>
  <c r="T114" i="7"/>
  <c r="T259" i="7"/>
  <c r="T260" i="7"/>
  <c r="T580" i="7"/>
  <c r="T261" i="7"/>
  <c r="T581" i="7"/>
  <c r="T262" i="7"/>
  <c r="T115" i="7"/>
  <c r="T116" i="7"/>
  <c r="T435" i="7"/>
  <c r="T436" i="7"/>
  <c r="T263" i="7"/>
  <c r="T437" i="7"/>
  <c r="T264" i="7"/>
  <c r="T117" i="7"/>
  <c r="T118" i="7"/>
  <c r="T438" i="7"/>
  <c r="T582" i="7"/>
  <c r="T119" i="7"/>
  <c r="T439" i="7"/>
  <c r="T583" i="7"/>
  <c r="T584" i="7"/>
  <c r="T265" i="7"/>
  <c r="T585" i="7"/>
  <c r="T266" i="7"/>
  <c r="T586" i="7"/>
  <c r="T120" i="7"/>
  <c r="T267" i="7"/>
  <c r="T268" i="7"/>
  <c r="T269" i="7"/>
  <c r="T270" i="7"/>
  <c r="T587" i="7"/>
  <c r="T588" i="7"/>
  <c r="T121" i="7"/>
  <c r="T440" i="7"/>
  <c r="T589" i="7"/>
  <c r="T590" i="7"/>
  <c r="T591" i="7"/>
  <c r="T592" i="7"/>
  <c r="T441" i="7"/>
  <c r="T593" i="7"/>
  <c r="T594" i="7"/>
  <c r="T442" i="7"/>
  <c r="T595" i="7"/>
  <c r="T443" i="7"/>
  <c r="T596" i="7"/>
  <c r="T271" i="7"/>
  <c r="T597" i="7"/>
  <c r="T272" i="7"/>
  <c r="T444" i="7"/>
  <c r="T598" i="7"/>
  <c r="T445" i="7"/>
  <c r="T599" i="7"/>
  <c r="T273" i="7"/>
  <c r="T274" i="7"/>
  <c r="T600" i="7"/>
  <c r="T122" i="7"/>
  <c r="T275" i="7"/>
  <c r="T446" i="7"/>
  <c r="T123" i="7"/>
  <c r="T447" i="7"/>
  <c r="T124" i="7"/>
  <c r="T276" i="7"/>
  <c r="T601" i="7"/>
  <c r="T602" i="7"/>
  <c r="T603" i="7"/>
  <c r="T604" i="7"/>
  <c r="T605" i="7"/>
  <c r="T448" i="7"/>
  <c r="T606" i="7"/>
  <c r="T449" i="7"/>
  <c r="T607" i="7"/>
  <c r="T450" i="7"/>
  <c r="T451" i="7"/>
  <c r="T608" i="7"/>
  <c r="T609" i="7"/>
  <c r="T277" i="7"/>
  <c r="T278" i="7"/>
  <c r="T125" i="7"/>
  <c r="T610" i="7"/>
  <c r="T611" i="7"/>
  <c r="T452" i="7"/>
  <c r="T126" i="7"/>
  <c r="T127" i="7"/>
  <c r="T453" i="7"/>
  <c r="T454" i="7"/>
  <c r="T455" i="7"/>
  <c r="T612" i="7"/>
  <c r="T279" i="7"/>
  <c r="T280" i="7"/>
  <c r="T281" i="7"/>
  <c r="T282" i="7"/>
  <c r="T613" i="7"/>
  <c r="T283" i="7"/>
  <c r="T456" i="7"/>
  <c r="T128" i="7"/>
  <c r="T614" i="7"/>
  <c r="T284" i="7"/>
  <c r="T615" i="7"/>
  <c r="T129" i="7"/>
  <c r="T130" i="7"/>
  <c r="T616" i="7"/>
  <c r="T131" i="7"/>
  <c r="T457" i="7"/>
  <c r="T617" i="7"/>
  <c r="T285" i="7"/>
  <c r="T132" i="7"/>
  <c r="T458" i="7"/>
  <c r="T286" i="7"/>
  <c r="T459" i="7"/>
  <c r="T460" i="7"/>
  <c r="T618" i="7"/>
  <c r="T133" i="7"/>
  <c r="T287" i="7"/>
  <c r="T461" i="7"/>
  <c r="T288" i="7"/>
  <c r="T462" i="7"/>
  <c r="T619" i="7"/>
  <c r="T289" i="7"/>
  <c r="T290" i="7"/>
  <c r="T620" i="7"/>
  <c r="T621" i="7"/>
  <c r="T134" i="7"/>
  <c r="T135" i="7"/>
  <c r="T622" i="7"/>
  <c r="T623" i="7"/>
  <c r="T624" i="7"/>
  <c r="T136" i="7"/>
  <c r="T463" i="7"/>
  <c r="T291" i="7"/>
  <c r="T625" i="7"/>
  <c r="T137" i="7"/>
  <c r="T292" i="7"/>
  <c r="T138" i="7"/>
  <c r="T464" i="7"/>
  <c r="T465" i="7"/>
  <c r="T466" i="7"/>
  <c r="T293" i="7"/>
  <c r="T139" i="7"/>
  <c r="T294" i="7"/>
  <c r="T626" i="7"/>
  <c r="T140" i="7"/>
  <c r="T467" i="7"/>
  <c r="T468" i="7"/>
  <c r="T295" i="7"/>
  <c r="T141" i="7"/>
  <c r="T296" i="7"/>
  <c r="T297" i="7"/>
  <c r="T298" i="7"/>
  <c r="T142" i="7"/>
  <c r="T627" i="7"/>
  <c r="T299" i="7"/>
  <c r="T143" i="7"/>
  <c r="T469" i="7"/>
  <c r="T470" i="7"/>
  <c r="T628" i="7"/>
  <c r="T629" i="7"/>
  <c r="T471" i="7"/>
  <c r="T630" i="7"/>
  <c r="T472" i="7"/>
  <c r="T144" i="7"/>
  <c r="T631" i="7"/>
  <c r="T473" i="7"/>
  <c r="T300" i="7"/>
  <c r="T145" i="7"/>
  <c r="T301" i="7"/>
  <c r="T632" i="7"/>
  <c r="T302" i="7"/>
  <c r="T303" i="7"/>
  <c r="T474" i="7"/>
  <c r="T146" i="7"/>
  <c r="T633" i="7"/>
  <c r="T475" i="7"/>
  <c r="O636" i="7"/>
  <c r="O635" i="7"/>
  <c r="S633" i="7"/>
  <c r="S146" i="7"/>
  <c r="S474" i="7"/>
  <c r="S303" i="7"/>
  <c r="S302" i="7"/>
  <c r="S632" i="7"/>
  <c r="S301" i="7"/>
  <c r="S145" i="7"/>
  <c r="S300" i="7"/>
  <c r="S473" i="7"/>
  <c r="S631" i="7"/>
  <c r="U631" i="7" s="1"/>
  <c r="S144" i="7"/>
  <c r="S472" i="7"/>
  <c r="S630" i="7"/>
  <c r="S471" i="7"/>
  <c r="S629" i="7"/>
  <c r="S628" i="7"/>
  <c r="S470" i="7"/>
  <c r="S469" i="7"/>
  <c r="S143" i="7"/>
  <c r="S299" i="7"/>
  <c r="U299" i="7" s="1"/>
  <c r="S627" i="7"/>
  <c r="S142" i="7"/>
  <c r="S298" i="7"/>
  <c r="S297" i="7"/>
  <c r="S296" i="7"/>
  <c r="S141" i="7"/>
  <c r="S295" i="7"/>
  <c r="S468" i="7"/>
  <c r="S467" i="7"/>
  <c r="S140" i="7"/>
  <c r="S626" i="7"/>
  <c r="S294" i="7"/>
  <c r="S139" i="7"/>
  <c r="S293" i="7"/>
  <c r="U293" i="7" s="1"/>
  <c r="V293" i="7" s="1"/>
  <c r="S466" i="7"/>
  <c r="S465" i="7"/>
  <c r="U465" i="7" s="1"/>
  <c r="S464" i="7"/>
  <c r="S138" i="7"/>
  <c r="S292" i="7"/>
  <c r="S137" i="7"/>
  <c r="S625" i="7"/>
  <c r="S291" i="7"/>
  <c r="U291" i="7" s="1"/>
  <c r="S463" i="7"/>
  <c r="S136" i="7"/>
  <c r="S624" i="7"/>
  <c r="S623" i="7"/>
  <c r="S622" i="7"/>
  <c r="S135" i="7"/>
  <c r="S134" i="7"/>
  <c r="S621" i="7"/>
  <c r="S620" i="7"/>
  <c r="S290" i="7"/>
  <c r="U290" i="7" s="1"/>
  <c r="S289" i="7"/>
  <c r="S619" i="7"/>
  <c r="S462" i="7"/>
  <c r="S288" i="7"/>
  <c r="S461" i="7"/>
  <c r="S287" i="7"/>
  <c r="S133" i="7"/>
  <c r="S618" i="7"/>
  <c r="S460" i="7"/>
  <c r="S459" i="7"/>
  <c r="S286" i="7"/>
  <c r="S458" i="7"/>
  <c r="S132" i="7"/>
  <c r="S285" i="7"/>
  <c r="U285" i="7" s="1"/>
  <c r="V285" i="7" s="1"/>
  <c r="S617" i="7"/>
  <c r="S457" i="7"/>
  <c r="U457" i="7" s="1"/>
  <c r="S131" i="7"/>
  <c r="S616" i="7"/>
  <c r="S130" i="7"/>
  <c r="S129" i="7"/>
  <c r="S615" i="7"/>
  <c r="S284" i="7"/>
  <c r="U284" i="7" s="1"/>
  <c r="S614" i="7"/>
  <c r="S128" i="7"/>
  <c r="U128" i="7" s="1"/>
  <c r="V128" i="7" s="1"/>
  <c r="S456" i="7"/>
  <c r="S283" i="7"/>
  <c r="S613" i="7"/>
  <c r="S282" i="7"/>
  <c r="S281" i="7"/>
  <c r="S280" i="7"/>
  <c r="S279" i="7"/>
  <c r="S612" i="7"/>
  <c r="U612" i="7" s="1"/>
  <c r="S455" i="7"/>
  <c r="S454" i="7"/>
  <c r="S453" i="7"/>
  <c r="S127" i="7"/>
  <c r="S126" i="7"/>
  <c r="S452" i="7"/>
  <c r="S611" i="7"/>
  <c r="S610" i="7"/>
  <c r="U610" i="7" s="1"/>
  <c r="S125" i="7"/>
  <c r="S278" i="7"/>
  <c r="S277" i="7"/>
  <c r="S609" i="7"/>
  <c r="S608" i="7"/>
  <c r="S451" i="7"/>
  <c r="U451" i="7" s="1"/>
  <c r="V451" i="7" s="1"/>
  <c r="S450" i="7"/>
  <c r="S607" i="7"/>
  <c r="S449" i="7"/>
  <c r="S606" i="7"/>
  <c r="S448" i="7"/>
  <c r="S605" i="7"/>
  <c r="S604" i="7"/>
  <c r="S603" i="7"/>
  <c r="U603" i="7" s="1"/>
  <c r="S602" i="7"/>
  <c r="S601" i="7"/>
  <c r="U601" i="7" s="1"/>
  <c r="V601" i="7" s="1"/>
  <c r="S276" i="7"/>
  <c r="S124" i="7"/>
  <c r="S447" i="7"/>
  <c r="S123" i="7"/>
  <c r="S446" i="7"/>
  <c r="S275" i="7"/>
  <c r="S122" i="7"/>
  <c r="S600" i="7"/>
  <c r="U600" i="7" s="1"/>
  <c r="S274" i="7"/>
  <c r="S273" i="7"/>
  <c r="S599" i="7"/>
  <c r="S445" i="7"/>
  <c r="S598" i="7"/>
  <c r="S444" i="7"/>
  <c r="S272" i="7"/>
  <c r="S597" i="7"/>
  <c r="U597" i="7" s="1"/>
  <c r="S271" i="7"/>
  <c r="S596" i="7"/>
  <c r="S443" i="7"/>
  <c r="S595" i="7"/>
  <c r="S442" i="7"/>
  <c r="S594" i="7"/>
  <c r="S593" i="7"/>
  <c r="S441" i="7"/>
  <c r="U441" i="7" s="1"/>
  <c r="S592" i="7"/>
  <c r="S591" i="7"/>
  <c r="S590" i="7"/>
  <c r="U590" i="7" s="1"/>
  <c r="S589" i="7"/>
  <c r="S440" i="7"/>
  <c r="S121" i="7"/>
  <c r="U121" i="7" s="1"/>
  <c r="S588" i="7"/>
  <c r="S587" i="7"/>
  <c r="S270" i="7"/>
  <c r="S269" i="7"/>
  <c r="S268" i="7"/>
  <c r="S267" i="7"/>
  <c r="S120" i="7"/>
  <c r="S586" i="7"/>
  <c r="S266" i="7"/>
  <c r="S585" i="7"/>
  <c r="S265" i="7"/>
  <c r="S584" i="7"/>
  <c r="S583" i="7"/>
  <c r="S439" i="7"/>
  <c r="S119" i="7"/>
  <c r="S582" i="7"/>
  <c r="S438" i="7"/>
  <c r="S118" i="7"/>
  <c r="S117" i="7"/>
  <c r="S264" i="7"/>
  <c r="S437" i="7"/>
  <c r="S263" i="7"/>
  <c r="S436" i="7"/>
  <c r="S435" i="7"/>
  <c r="U435" i="7" s="1"/>
  <c r="V435" i="7" s="1"/>
  <c r="S116" i="7"/>
  <c r="S115" i="7"/>
  <c r="U115" i="7" s="1"/>
  <c r="S262" i="7"/>
  <c r="S581" i="7"/>
  <c r="S261" i="7"/>
  <c r="U261" i="7" s="1"/>
  <c r="S580" i="7"/>
  <c r="S260" i="7"/>
  <c r="S259" i="7"/>
  <c r="U259" i="7" s="1"/>
  <c r="S114" i="7"/>
  <c r="S579" i="7"/>
  <c r="U579" i="7" s="1"/>
  <c r="S113" i="7"/>
  <c r="S112" i="7"/>
  <c r="S578" i="7"/>
  <c r="S258" i="7"/>
  <c r="S577" i="7"/>
  <c r="S257" i="7"/>
  <c r="S111" i="7"/>
  <c r="S576" i="7"/>
  <c r="U576" i="7" s="1"/>
  <c r="S110" i="7"/>
  <c r="S575" i="7"/>
  <c r="S434" i="7"/>
  <c r="U434" i="7" s="1"/>
  <c r="S256" i="7"/>
  <c r="S574" i="7"/>
  <c r="S255" i="7"/>
  <c r="S433" i="7"/>
  <c r="S432" i="7"/>
  <c r="U432" i="7" s="1"/>
  <c r="S254" i="7"/>
  <c r="S431" i="7"/>
  <c r="S253" i="7"/>
  <c r="S109" i="7"/>
  <c r="S108" i="7"/>
  <c r="S430" i="7"/>
  <c r="U430" i="7" s="1"/>
  <c r="V430" i="7" s="1"/>
  <c r="S429" i="7"/>
  <c r="S252" i="7"/>
  <c r="U252" i="7" s="1"/>
  <c r="S251" i="7"/>
  <c r="S573" i="7"/>
  <c r="S428" i="7"/>
  <c r="S107" i="7"/>
  <c r="S106" i="7"/>
  <c r="S105" i="7"/>
  <c r="U105" i="7" s="1"/>
  <c r="S104" i="7"/>
  <c r="S427" i="7"/>
  <c r="U427" i="7" s="1"/>
  <c r="V427" i="7" s="1"/>
  <c r="S250" i="7"/>
  <c r="S426" i="7"/>
  <c r="S103" i="7"/>
  <c r="S102" i="7"/>
  <c r="S425" i="7"/>
  <c r="S249" i="7"/>
  <c r="S572" i="7"/>
  <c r="S424" i="7"/>
  <c r="U424" i="7" s="1"/>
  <c r="S571" i="7"/>
  <c r="S101" i="7"/>
  <c r="S100" i="7"/>
  <c r="U100" i="7" s="1"/>
  <c r="S99" i="7"/>
  <c r="S248" i="7"/>
  <c r="S247" i="7"/>
  <c r="S423" i="7"/>
  <c r="S98" i="7"/>
  <c r="U98" i="7" s="1"/>
  <c r="S246" i="7"/>
  <c r="S570" i="7"/>
  <c r="S245" i="7"/>
  <c r="S422" i="7"/>
  <c r="S421" i="7"/>
  <c r="S244" i="7"/>
  <c r="U244" i="7" s="1"/>
  <c r="S569" i="7"/>
  <c r="S243" i="7"/>
  <c r="U243" i="7" s="1"/>
  <c r="S420" i="7"/>
  <c r="S419" i="7"/>
  <c r="S418" i="7"/>
  <c r="S97" i="7"/>
  <c r="S417" i="7"/>
  <c r="S242" i="7"/>
  <c r="U242" i="7" s="1"/>
  <c r="S416" i="7"/>
  <c r="S241" i="7"/>
  <c r="U241" i="7" s="1"/>
  <c r="S96" i="7"/>
  <c r="S415" i="7"/>
  <c r="S568" i="7"/>
  <c r="S567" i="7"/>
  <c r="S240" i="7"/>
  <c r="S414" i="7"/>
  <c r="S239" i="7"/>
  <c r="S95" i="7"/>
  <c r="S566" i="7"/>
  <c r="S413" i="7"/>
  <c r="S94" i="7"/>
  <c r="S93" i="7"/>
  <c r="S412" i="7"/>
  <c r="S238" i="7"/>
  <c r="S411" i="7"/>
  <c r="S237" i="7"/>
  <c r="S410" i="7"/>
  <c r="S236" i="7"/>
  <c r="S409" i="7"/>
  <c r="S235" i="7"/>
  <c r="S92" i="7"/>
  <c r="S234" i="7"/>
  <c r="U234" i="7" s="1"/>
  <c r="S408" i="7"/>
  <c r="S233" i="7"/>
  <c r="U233" i="7" s="1"/>
  <c r="S407" i="7"/>
  <c r="S565" i="7"/>
  <c r="S564" i="7"/>
  <c r="S232" i="7"/>
  <c r="S91" i="7"/>
  <c r="S90" i="7"/>
  <c r="U90" i="7" s="1"/>
  <c r="S231" i="7"/>
  <c r="S406" i="7"/>
  <c r="U406" i="7" s="1"/>
  <c r="V406" i="7" s="1"/>
  <c r="S405" i="7"/>
  <c r="S230" i="7"/>
  <c r="S404" i="7"/>
  <c r="S229" i="7"/>
  <c r="S403" i="7"/>
  <c r="S89" i="7"/>
  <c r="S228" i="7"/>
  <c r="S88" i="7"/>
  <c r="U88" i="7" s="1"/>
  <c r="S563" i="7"/>
  <c r="S562" i="7"/>
  <c r="S87" i="7"/>
  <c r="S227" i="7"/>
  <c r="S86" i="7"/>
  <c r="S561" i="7"/>
  <c r="S85" i="7"/>
  <c r="S84" i="7"/>
  <c r="S83" i="7"/>
  <c r="S226" i="7"/>
  <c r="S560" i="7"/>
  <c r="S225" i="7"/>
  <c r="S559" i="7"/>
  <c r="S224" i="7"/>
  <c r="U224" i="7" s="1"/>
  <c r="S82" i="7"/>
  <c r="S81" i="7"/>
  <c r="U81" i="7" s="1"/>
  <c r="S223" i="7"/>
  <c r="S558" i="7"/>
  <c r="S402" i="7"/>
  <c r="S557" i="7"/>
  <c r="S80" i="7"/>
  <c r="S556" i="7"/>
  <c r="U556" i="7" s="1"/>
  <c r="S401" i="7"/>
  <c r="S400" i="7"/>
  <c r="S555" i="7"/>
  <c r="S79" i="7"/>
  <c r="S399" i="7"/>
  <c r="S78" i="7"/>
  <c r="S554" i="7"/>
  <c r="S553" i="7"/>
  <c r="S398" i="7"/>
  <c r="S552" i="7"/>
  <c r="U552" i="7" s="1"/>
  <c r="S397" i="7"/>
  <c r="S77" i="7"/>
  <c r="S76" i="7"/>
  <c r="S551" i="7"/>
  <c r="S222" i="7"/>
  <c r="S550" i="7"/>
  <c r="S396" i="7"/>
  <c r="S395" i="7"/>
  <c r="S394" i="7"/>
  <c r="S393" i="7"/>
  <c r="S221" i="7"/>
  <c r="U221" i="7" s="1"/>
  <c r="S220" i="7"/>
  <c r="S75" i="7"/>
  <c r="S392" i="7"/>
  <c r="U392" i="7" s="1"/>
  <c r="S74" i="7"/>
  <c r="S73" i="7"/>
  <c r="S219" i="7"/>
  <c r="S549" i="7"/>
  <c r="S72" i="7"/>
  <c r="S218" i="7"/>
  <c r="S217" i="7"/>
  <c r="S71" i="7"/>
  <c r="S391" i="7"/>
  <c r="S390" i="7"/>
  <c r="U390" i="7" s="1"/>
  <c r="S389" i="7"/>
  <c r="S548" i="7"/>
  <c r="S216" i="7"/>
  <c r="S388" i="7"/>
  <c r="S70" i="7"/>
  <c r="S69" i="7"/>
  <c r="S68" i="7"/>
  <c r="S215" i="7"/>
  <c r="U215" i="7" s="1"/>
  <c r="S547" i="7"/>
  <c r="S214" i="7"/>
  <c r="S546" i="7"/>
  <c r="S67" i="7"/>
  <c r="S545" i="7"/>
  <c r="S544" i="7"/>
  <c r="S387" i="7"/>
  <c r="S543" i="7"/>
  <c r="S542" i="7"/>
  <c r="S213" i="7"/>
  <c r="S66" i="7"/>
  <c r="S386" i="7"/>
  <c r="S65" i="7"/>
  <c r="S385" i="7"/>
  <c r="S212" i="7"/>
  <c r="S384" i="7"/>
  <c r="U384" i="7" s="1"/>
  <c r="S64" i="7"/>
  <c r="S383" i="7"/>
  <c r="S382" i="7"/>
  <c r="S541" i="7"/>
  <c r="S63" i="7"/>
  <c r="S211" i="7"/>
  <c r="S62" i="7"/>
  <c r="S540" i="7"/>
  <c r="U540" i="7" s="1"/>
  <c r="S381" i="7"/>
  <c r="S539" i="7"/>
  <c r="S210" i="7"/>
  <c r="S209" i="7"/>
  <c r="S208" i="7"/>
  <c r="S380" i="7"/>
  <c r="S207" i="7"/>
  <c r="S538" i="7"/>
  <c r="S61" i="7"/>
  <c r="S379" i="7"/>
  <c r="S378" i="7"/>
  <c r="S206" i="7"/>
  <c r="S537" i="7"/>
  <c r="S205" i="7"/>
  <c r="S536" i="7"/>
  <c r="S204" i="7"/>
  <c r="S203" i="7"/>
  <c r="S60" i="7"/>
  <c r="S377" i="7"/>
  <c r="S202" i="7"/>
  <c r="S59" i="7"/>
  <c r="S376" i="7"/>
  <c r="S535" i="7"/>
  <c r="S534" i="7"/>
  <c r="U534" i="7" s="1"/>
  <c r="S375" i="7"/>
  <c r="S58" i="7"/>
  <c r="S57" i="7"/>
  <c r="U57" i="7" s="1"/>
  <c r="S374" i="7"/>
  <c r="S533" i="7"/>
  <c r="S373" i="7"/>
  <c r="S372" i="7"/>
  <c r="S371" i="7"/>
  <c r="U371" i="7" s="1"/>
  <c r="S201" i="7"/>
  <c r="S56" i="7"/>
  <c r="S55" i="7"/>
  <c r="S370" i="7"/>
  <c r="S369" i="7"/>
  <c r="S532" i="7"/>
  <c r="S200" i="7"/>
  <c r="S368" i="7"/>
  <c r="S54" i="7"/>
  <c r="S53" i="7"/>
  <c r="S52" i="7"/>
  <c r="S199" i="7"/>
  <c r="S198" i="7"/>
  <c r="S367" i="7"/>
  <c r="S197" i="7"/>
  <c r="S51" i="7"/>
  <c r="U51" i="7" s="1"/>
  <c r="S366" i="7"/>
  <c r="S531" i="7"/>
  <c r="S196" i="7"/>
  <c r="S365" i="7"/>
  <c r="S530" i="7"/>
  <c r="S195" i="7"/>
  <c r="S194" i="7"/>
  <c r="S529" i="7"/>
  <c r="S364" i="7"/>
  <c r="S528" i="7"/>
  <c r="S527" i="7"/>
  <c r="S50" i="7"/>
  <c r="S363" i="7"/>
  <c r="S193" i="7"/>
  <c r="S526" i="7"/>
  <c r="S192" i="7"/>
  <c r="U192" i="7" s="1"/>
  <c r="S49" i="7"/>
  <c r="S362" i="7"/>
  <c r="S48" i="7"/>
  <c r="S191" i="7"/>
  <c r="S361" i="7"/>
  <c r="S360" i="7"/>
  <c r="S525" i="7"/>
  <c r="S524" i="7"/>
  <c r="U524" i="7" s="1"/>
  <c r="S47" i="7"/>
  <c r="S359" i="7"/>
  <c r="S190" i="7"/>
  <c r="S358" i="7"/>
  <c r="S523" i="7"/>
  <c r="S522" i="7"/>
  <c r="S357" i="7"/>
  <c r="S46" i="7"/>
  <c r="S189" i="7"/>
  <c r="S521" i="7"/>
  <c r="S45" i="7"/>
  <c r="S188" i="7"/>
  <c r="S187" i="7"/>
  <c r="S44" i="7"/>
  <c r="S356" i="7"/>
  <c r="S520" i="7"/>
  <c r="U520" i="7" s="1"/>
  <c r="S355" i="7"/>
  <c r="S43" i="7"/>
  <c r="S186" i="7"/>
  <c r="S519" i="7"/>
  <c r="S518" i="7"/>
  <c r="S185" i="7"/>
  <c r="S354" i="7"/>
  <c r="S353" i="7"/>
  <c r="S184" i="7"/>
  <c r="S517" i="7"/>
  <c r="S183" i="7"/>
  <c r="S182" i="7"/>
  <c r="S516" i="7"/>
  <c r="S515" i="7"/>
  <c r="S352" i="7"/>
  <c r="S42" i="7"/>
  <c r="U42" i="7" s="1"/>
  <c r="S514" i="7"/>
  <c r="S181" i="7"/>
  <c r="S180" i="7"/>
  <c r="S351" i="7"/>
  <c r="S513" i="7"/>
  <c r="S41" i="7"/>
  <c r="S350" i="7"/>
  <c r="S40" i="7"/>
  <c r="U40" i="7" s="1"/>
  <c r="S179" i="7"/>
  <c r="S178" i="7"/>
  <c r="S177" i="7"/>
  <c r="S39" i="7"/>
  <c r="S349" i="7"/>
  <c r="S348" i="7"/>
  <c r="S512" i="7"/>
  <c r="S176" i="7"/>
  <c r="S347" i="7"/>
  <c r="S511" i="7"/>
  <c r="S175" i="7"/>
  <c r="S346" i="7"/>
  <c r="S38" i="7"/>
  <c r="S174" i="7"/>
  <c r="S510" i="7"/>
  <c r="S345" i="7"/>
  <c r="U345" i="7" s="1"/>
  <c r="V345" i="7" s="1"/>
  <c r="S37" i="7"/>
  <c r="S36" i="7"/>
  <c r="S35" i="7"/>
  <c r="U35" i="7" s="1"/>
  <c r="S509" i="7"/>
  <c r="S34" i="7"/>
  <c r="S344" i="7"/>
  <c r="S508" i="7"/>
  <c r="S173" i="7"/>
  <c r="U173" i="7" s="1"/>
  <c r="S507" i="7"/>
  <c r="S33" i="7"/>
  <c r="S172" i="7"/>
  <c r="S32" i="7"/>
  <c r="S343" i="7"/>
  <c r="S506" i="7"/>
  <c r="S505" i="7"/>
  <c r="S171" i="7"/>
  <c r="S31" i="7"/>
  <c r="S342" i="7"/>
  <c r="S30" i="7"/>
  <c r="S29" i="7"/>
  <c r="S341" i="7"/>
  <c r="S170" i="7"/>
  <c r="S340" i="7"/>
  <c r="S28" i="7"/>
  <c r="U28" i="7" s="1"/>
  <c r="S504" i="7"/>
  <c r="S339" i="7"/>
  <c r="S338" i="7"/>
  <c r="S337" i="7"/>
  <c r="S503" i="7"/>
  <c r="S336" i="7"/>
  <c r="S502" i="7"/>
  <c r="S27" i="7"/>
  <c r="U27" i="7" s="1"/>
  <c r="V27" i="7" s="1"/>
  <c r="S335" i="7"/>
  <c r="S26" i="7"/>
  <c r="S501" i="7"/>
  <c r="S500" i="7"/>
  <c r="S169" i="7"/>
  <c r="S168" i="7"/>
  <c r="S25" i="7"/>
  <c r="S334" i="7"/>
  <c r="S499" i="7"/>
  <c r="S498" i="7"/>
  <c r="S24" i="7"/>
  <c r="S333" i="7"/>
  <c r="S497" i="7"/>
  <c r="S167" i="7"/>
  <c r="S496" i="7"/>
  <c r="S166" i="7"/>
  <c r="U166" i="7" s="1"/>
  <c r="S332" i="7"/>
  <c r="S495" i="7"/>
  <c r="S165" i="7"/>
  <c r="S494" i="7"/>
  <c r="S493" i="7"/>
  <c r="S23" i="7"/>
  <c r="S22" i="7"/>
  <c r="S492" i="7"/>
  <c r="S331" i="7"/>
  <c r="S330" i="7"/>
  <c r="S21" i="7"/>
  <c r="S329" i="7"/>
  <c r="S328" i="7"/>
  <c r="S327" i="7"/>
  <c r="S164" i="7"/>
  <c r="S326" i="7"/>
  <c r="S491" i="7"/>
  <c r="S163" i="7"/>
  <c r="S325" i="7"/>
  <c r="S324" i="7"/>
  <c r="S323" i="7"/>
  <c r="S490" i="7"/>
  <c r="S322" i="7"/>
  <c r="S489" i="7"/>
  <c r="U489" i="7" s="1"/>
  <c r="V489" i="7" s="1"/>
  <c r="S488" i="7"/>
  <c r="S487" i="7"/>
  <c r="S20" i="7"/>
  <c r="S486" i="7"/>
  <c r="S162" i="7"/>
  <c r="S161" i="7"/>
  <c r="S19" i="7"/>
  <c r="S18" i="7"/>
  <c r="S17" i="7"/>
  <c r="S160" i="7"/>
  <c r="S16" i="7"/>
  <c r="S15" i="7"/>
  <c r="S14" i="7"/>
  <c r="S321" i="7"/>
  <c r="S485" i="7"/>
  <c r="S320" i="7"/>
  <c r="S13" i="7"/>
  <c r="S484" i="7"/>
  <c r="S483" i="7"/>
  <c r="S12" i="7"/>
  <c r="S482" i="7"/>
  <c r="S319" i="7"/>
  <c r="S11" i="7"/>
  <c r="S318" i="7"/>
  <c r="S10" i="7"/>
  <c r="S159" i="7"/>
  <c r="S317" i="7"/>
  <c r="U317" i="7" s="1"/>
  <c r="S316" i="7"/>
  <c r="S481" i="7"/>
  <c r="S315" i="7"/>
  <c r="S158" i="7"/>
  <c r="S314" i="7"/>
  <c r="S313" i="7"/>
  <c r="S157" i="7"/>
  <c r="S480" i="7"/>
  <c r="S312" i="7"/>
  <c r="S9" i="7"/>
  <c r="S156" i="7"/>
  <c r="S311" i="7"/>
  <c r="S155" i="7"/>
  <c r="S154" i="7"/>
  <c r="S479" i="7"/>
  <c r="S478" i="7"/>
  <c r="S153" i="7"/>
  <c r="S8" i="7"/>
  <c r="S310" i="7"/>
  <c r="S309" i="7"/>
  <c r="S7" i="7"/>
  <c r="U7" i="7" s="1"/>
  <c r="S6" i="7"/>
  <c r="S477" i="7"/>
  <c r="S152" i="7"/>
  <c r="S151" i="7"/>
  <c r="S308" i="7"/>
  <c r="S307" i="7"/>
  <c r="S150" i="7"/>
  <c r="S5" i="7"/>
  <c r="S306" i="7"/>
  <c r="S149" i="7"/>
  <c r="S148" i="7"/>
  <c r="S476" i="7"/>
  <c r="S147" i="7"/>
  <c r="S4" i="7"/>
  <c r="S3" i="7"/>
  <c r="S305" i="7"/>
  <c r="U305" i="7" s="1"/>
  <c r="S2" i="7"/>
  <c r="S304" i="7"/>
  <c r="S475" i="7"/>
  <c r="U385" i="7" l="1"/>
  <c r="U369" i="7"/>
  <c r="U341" i="7"/>
  <c r="U147" i="7"/>
  <c r="V147" i="7" s="1"/>
  <c r="U481" i="7"/>
  <c r="V481" i="7" s="1"/>
  <c r="U323" i="7"/>
  <c r="V323" i="7" s="1"/>
  <c r="U626" i="7"/>
  <c r="V626" i="7" s="1"/>
  <c r="U630" i="7"/>
  <c r="V630" i="7" s="1"/>
  <c r="U627" i="7"/>
  <c r="V627" i="7" s="1"/>
  <c r="U467" i="7"/>
  <c r="V467" i="7" s="1"/>
  <c r="U624" i="7"/>
  <c r="V624" i="7" s="1"/>
  <c r="U289" i="7"/>
  <c r="V289" i="7" s="1"/>
  <c r="U460" i="7"/>
  <c r="V460" i="7" s="1"/>
  <c r="U456" i="7"/>
  <c r="V456" i="7" s="1"/>
  <c r="U455" i="7"/>
  <c r="V455" i="7" s="1"/>
  <c r="U276" i="7"/>
  <c r="V276" i="7" s="1"/>
  <c r="U274" i="7"/>
  <c r="V274" i="7" s="1"/>
  <c r="U271" i="7"/>
  <c r="U265" i="7"/>
  <c r="V265" i="7" s="1"/>
  <c r="U68" i="7"/>
  <c r="V68" i="7" s="1"/>
  <c r="U416" i="7"/>
  <c r="V416" i="7" s="1"/>
  <c r="U593" i="7"/>
  <c r="V593" i="7" s="1"/>
  <c r="U450" i="7"/>
  <c r="V450" i="7" s="1"/>
  <c r="U620" i="7"/>
  <c r="V620" i="7" s="1"/>
  <c r="U476" i="7"/>
  <c r="V476" i="7" s="1"/>
  <c r="U151" i="7"/>
  <c r="U153" i="7"/>
  <c r="V153" i="7" s="1"/>
  <c r="U15" i="7"/>
  <c r="V15" i="7" s="1"/>
  <c r="U486" i="7"/>
  <c r="V486" i="7" s="1"/>
  <c r="U329" i="7"/>
  <c r="V329" i="7" s="1"/>
  <c r="U494" i="7"/>
  <c r="V494" i="7" s="1"/>
  <c r="U333" i="7"/>
  <c r="V333" i="7" s="1"/>
  <c r="U32" i="7"/>
  <c r="V32" i="7" s="1"/>
  <c r="U39" i="7"/>
  <c r="V39" i="7" s="1"/>
  <c r="U188" i="7"/>
  <c r="V188" i="7" s="1"/>
  <c r="U191" i="7"/>
  <c r="V191" i="7" s="1"/>
  <c r="U50" i="7"/>
  <c r="V50" i="7" s="1"/>
  <c r="U199" i="7"/>
  <c r="V199" i="7" s="1"/>
  <c r="U370" i="7"/>
  <c r="V370" i="7" s="1"/>
  <c r="U202" i="7"/>
  <c r="V202" i="7" s="1"/>
  <c r="U541" i="7"/>
  <c r="V541" i="7" s="1"/>
  <c r="U67" i="7"/>
  <c r="V67" i="7" s="1"/>
  <c r="U388" i="7"/>
  <c r="V388" i="7" s="1"/>
  <c r="U220" i="7"/>
  <c r="V220" i="7" s="1"/>
  <c r="U551" i="7"/>
  <c r="V551" i="7" s="1"/>
  <c r="U557" i="7"/>
  <c r="V557" i="7" s="1"/>
  <c r="U225" i="7"/>
  <c r="V225" i="7" s="1"/>
  <c r="U229" i="7"/>
  <c r="V229" i="7" s="1"/>
  <c r="U469" i="7"/>
  <c r="V469" i="7" s="1"/>
  <c r="U34" i="7"/>
  <c r="V34" i="7" s="1"/>
  <c r="U513" i="7"/>
  <c r="V513" i="7" s="1"/>
  <c r="U516" i="7"/>
  <c r="V516" i="7" s="1"/>
  <c r="U187" i="7"/>
  <c r="V187" i="7" s="1"/>
  <c r="U361" i="7"/>
  <c r="V361" i="7" s="1"/>
  <c r="U363" i="7"/>
  <c r="V363" i="7" s="1"/>
  <c r="U198" i="7"/>
  <c r="V198" i="7" s="1"/>
  <c r="U63" i="7"/>
  <c r="V63" i="7" s="1"/>
  <c r="U70" i="7"/>
  <c r="V70" i="7" s="1"/>
  <c r="U75" i="7"/>
  <c r="V75" i="7" s="1"/>
  <c r="U403" i="7"/>
  <c r="V403" i="7" s="1"/>
  <c r="U412" i="7"/>
  <c r="V412" i="7" s="1"/>
  <c r="U240" i="7"/>
  <c r="V240" i="7" s="1"/>
  <c r="U106" i="7"/>
  <c r="V106" i="7" s="1"/>
  <c r="U120" i="7"/>
  <c r="V120" i="7" s="1"/>
  <c r="U604" i="7"/>
  <c r="V604" i="7" s="1"/>
  <c r="U126" i="7"/>
  <c r="U615" i="7"/>
  <c r="V615" i="7" s="1"/>
  <c r="U134" i="7"/>
  <c r="V134" i="7" s="1"/>
  <c r="U470" i="7"/>
  <c r="V470" i="7" s="1"/>
  <c r="U473" i="7"/>
  <c r="V473" i="7" s="1"/>
  <c r="V126" i="7"/>
  <c r="V243" i="7"/>
  <c r="U141" i="7"/>
  <c r="V141" i="7" s="1"/>
  <c r="U621" i="7"/>
  <c r="V621" i="7" s="1"/>
  <c r="U280" i="7"/>
  <c r="V280" i="7" s="1"/>
  <c r="U257" i="7"/>
  <c r="V257" i="7" s="1"/>
  <c r="U422" i="7"/>
  <c r="V422" i="7" s="1"/>
  <c r="U102" i="7"/>
  <c r="V102" i="7" s="1"/>
  <c r="U256" i="7"/>
  <c r="V256" i="7" s="1"/>
  <c r="U580" i="7"/>
  <c r="V580" i="7" s="1"/>
  <c r="U439" i="7"/>
  <c r="V439" i="7" s="1"/>
  <c r="U123" i="7"/>
  <c r="V123" i="7" s="1"/>
  <c r="U605" i="7"/>
  <c r="V605" i="7" s="1"/>
  <c r="U288" i="7"/>
  <c r="V288" i="7" s="1"/>
  <c r="U135" i="7"/>
  <c r="V135" i="7" s="1"/>
  <c r="U297" i="7"/>
  <c r="V297" i="7" s="1"/>
  <c r="U300" i="7"/>
  <c r="V300" i="7" s="1"/>
  <c r="U316" i="7"/>
  <c r="V316" i="7" s="1"/>
  <c r="V115" i="7"/>
  <c r="V384" i="7"/>
  <c r="U117" i="7"/>
  <c r="V117" i="7" s="1"/>
  <c r="U113" i="7"/>
  <c r="V113" i="7" s="1"/>
  <c r="U110" i="7"/>
  <c r="V110" i="7" s="1"/>
  <c r="U254" i="7"/>
  <c r="V254" i="7" s="1"/>
  <c r="U250" i="7"/>
  <c r="V250" i="7" s="1"/>
  <c r="U571" i="7"/>
  <c r="V571" i="7" s="1"/>
  <c r="U246" i="7"/>
  <c r="V246" i="7" s="1"/>
  <c r="U96" i="7"/>
  <c r="V96" i="7" s="1"/>
  <c r="U410" i="7"/>
  <c r="V410" i="7" s="1"/>
  <c r="U405" i="7"/>
  <c r="V405" i="7" s="1"/>
  <c r="U563" i="7"/>
  <c r="V563" i="7" s="1"/>
  <c r="U555" i="7"/>
  <c r="V555" i="7" s="1"/>
  <c r="U397" i="7"/>
  <c r="V397" i="7" s="1"/>
  <c r="U547" i="7"/>
  <c r="V547" i="7" s="1"/>
  <c r="U366" i="7"/>
  <c r="V366" i="7" s="1"/>
  <c r="U364" i="7"/>
  <c r="V364" i="7" s="1"/>
  <c r="U47" i="7"/>
  <c r="V47" i="7" s="1"/>
  <c r="U355" i="7"/>
  <c r="V355" i="7" s="1"/>
  <c r="U184" i="7"/>
  <c r="V184" i="7" s="1"/>
  <c r="U335" i="7"/>
  <c r="V335" i="7" s="1"/>
  <c r="U499" i="7"/>
  <c r="V499" i="7" s="1"/>
  <c r="U331" i="7"/>
  <c r="V331" i="7" s="1"/>
  <c r="U313" i="7"/>
  <c r="V313" i="7" s="1"/>
  <c r="U594" i="7"/>
  <c r="V594" i="7" s="1"/>
  <c r="U206" i="7"/>
  <c r="V206" i="7" s="1"/>
  <c r="V28" i="7"/>
  <c r="U301" i="7"/>
  <c r="V301" i="7" s="1"/>
  <c r="U471" i="7"/>
  <c r="V471" i="7" s="1"/>
  <c r="U142" i="7"/>
  <c r="V142" i="7" s="1"/>
  <c r="U140" i="7"/>
  <c r="V140" i="7" s="1"/>
  <c r="U138" i="7"/>
  <c r="U623" i="7"/>
  <c r="V623" i="7" s="1"/>
  <c r="U619" i="7"/>
  <c r="V619" i="7" s="1"/>
  <c r="U459" i="7"/>
  <c r="V459" i="7" s="1"/>
  <c r="U616" i="7"/>
  <c r="V616" i="7" s="1"/>
  <c r="U283" i="7"/>
  <c r="V283" i="7" s="1"/>
  <c r="U454" i="7"/>
  <c r="V454" i="7" s="1"/>
  <c r="U278" i="7"/>
  <c r="U606" i="7"/>
  <c r="V606" i="7" s="1"/>
  <c r="U124" i="7"/>
  <c r="U273" i="7"/>
  <c r="U596" i="7"/>
  <c r="V596" i="7" s="1"/>
  <c r="U591" i="7"/>
  <c r="V591" i="7" s="1"/>
  <c r="U269" i="7"/>
  <c r="V269" i="7" s="1"/>
  <c r="U584" i="7"/>
  <c r="V584" i="7" s="1"/>
  <c r="U264" i="7"/>
  <c r="V264" i="7" s="1"/>
  <c r="U581" i="7"/>
  <c r="V581" i="7" s="1"/>
  <c r="U112" i="7"/>
  <c r="V112" i="7" s="1"/>
  <c r="U575" i="7"/>
  <c r="V575" i="7" s="1"/>
  <c r="U431" i="7"/>
  <c r="V431" i="7" s="1"/>
  <c r="U573" i="7"/>
  <c r="V573" i="7" s="1"/>
  <c r="U426" i="7"/>
  <c r="V426" i="7" s="1"/>
  <c r="U101" i="7"/>
  <c r="V101" i="7" s="1"/>
  <c r="U570" i="7"/>
  <c r="V570" i="7" s="1"/>
  <c r="U419" i="7"/>
  <c r="V419" i="7" s="1"/>
  <c r="U415" i="7"/>
  <c r="U413" i="7"/>
  <c r="U236" i="7"/>
  <c r="V236" i="7" s="1"/>
  <c r="U565" i="7"/>
  <c r="V565" i="7" s="1"/>
  <c r="U230" i="7"/>
  <c r="V230" i="7" s="1"/>
  <c r="U562" i="7"/>
  <c r="V562" i="7" s="1"/>
  <c r="U226" i="7"/>
  <c r="V226" i="7" s="1"/>
  <c r="U558" i="7"/>
  <c r="V558" i="7" s="1"/>
  <c r="U79" i="7"/>
  <c r="V79" i="7" s="1"/>
  <c r="U77" i="7"/>
  <c r="V77" i="7" s="1"/>
  <c r="U379" i="7"/>
  <c r="V379" i="7" s="1"/>
  <c r="U531" i="7"/>
  <c r="V531" i="7" s="1"/>
  <c r="U178" i="7"/>
  <c r="V178" i="7" s="1"/>
  <c r="U487" i="7"/>
  <c r="V487" i="7" s="1"/>
  <c r="U537" i="7"/>
  <c r="V537" i="7" s="1"/>
  <c r="U474" i="7"/>
  <c r="V474" i="7" s="1"/>
  <c r="U587" i="7"/>
  <c r="V587" i="7" s="1"/>
  <c r="V252" i="7"/>
  <c r="V441" i="7"/>
  <c r="V552" i="7"/>
  <c r="U472" i="7"/>
  <c r="V472" i="7" s="1"/>
  <c r="U492" i="7"/>
  <c r="V492" i="7" s="1"/>
  <c r="U287" i="7"/>
  <c r="V287" i="7" s="1"/>
  <c r="U452" i="7"/>
  <c r="V452" i="7" s="1"/>
  <c r="U275" i="7"/>
  <c r="V275" i="7" s="1"/>
  <c r="U444" i="7"/>
  <c r="V444" i="7" s="1"/>
  <c r="U586" i="7"/>
  <c r="V586" i="7" s="1"/>
  <c r="U582" i="7"/>
  <c r="V582" i="7" s="1"/>
  <c r="U255" i="7"/>
  <c r="V255" i="7" s="1"/>
  <c r="U249" i="7"/>
  <c r="V249" i="7" s="1"/>
  <c r="U247" i="7"/>
  <c r="V247" i="7" s="1"/>
  <c r="U414" i="7"/>
  <c r="V414" i="7" s="1"/>
  <c r="U238" i="7"/>
  <c r="V238" i="7" s="1"/>
  <c r="U89" i="7"/>
  <c r="V89" i="7" s="1"/>
  <c r="U561" i="7"/>
  <c r="V561" i="7" s="1"/>
  <c r="U553" i="7"/>
  <c r="V553" i="7" s="1"/>
  <c r="U550" i="7"/>
  <c r="U95" i="7"/>
  <c r="V95" i="7" s="1"/>
  <c r="U498" i="7"/>
  <c r="V498" i="7" s="1"/>
  <c r="U342" i="7"/>
  <c r="V342" i="7" s="1"/>
  <c r="U517" i="7"/>
  <c r="V517" i="7" s="1"/>
  <c r="U359" i="7"/>
  <c r="V359" i="7" s="1"/>
  <c r="U528" i="7"/>
  <c r="V528" i="7" s="1"/>
  <c r="U3" i="7"/>
  <c r="V3" i="7" s="1"/>
  <c r="U311" i="7"/>
  <c r="V311" i="7" s="1"/>
  <c r="V317" i="7"/>
  <c r="U483" i="7"/>
  <c r="V483" i="7" s="1"/>
  <c r="U16" i="7"/>
  <c r="V16" i="7" s="1"/>
  <c r="U20" i="7"/>
  <c r="V20" i="7" s="1"/>
  <c r="U325" i="7"/>
  <c r="V325" i="7" s="1"/>
  <c r="U24" i="7"/>
  <c r="V24" i="7" s="1"/>
  <c r="U501" i="7"/>
  <c r="V501" i="7" s="1"/>
  <c r="U340" i="7"/>
  <c r="V340" i="7" s="1"/>
  <c r="U505" i="7"/>
  <c r="V505" i="7" s="1"/>
  <c r="U508" i="7"/>
  <c r="V508" i="7" s="1"/>
  <c r="U510" i="7"/>
  <c r="V510" i="7" s="1"/>
  <c r="U512" i="7"/>
  <c r="V512" i="7" s="1"/>
  <c r="U180" i="7"/>
  <c r="V180" i="7" s="1"/>
  <c r="U354" i="7"/>
  <c r="V354" i="7" s="1"/>
  <c r="U45" i="7"/>
  <c r="V45" i="7" s="1"/>
  <c r="U525" i="7"/>
  <c r="V525" i="7" s="1"/>
  <c r="U526" i="7"/>
  <c r="V526" i="7" s="1"/>
  <c r="U196" i="7"/>
  <c r="V196" i="7" s="1"/>
  <c r="U200" i="7"/>
  <c r="V200" i="7" s="1"/>
  <c r="U372" i="7"/>
  <c r="V372" i="7" s="1"/>
  <c r="U535" i="7"/>
  <c r="V535" i="7" s="1"/>
  <c r="U378" i="7"/>
  <c r="V378" i="7" s="1"/>
  <c r="U210" i="7"/>
  <c r="V210" i="7" s="1"/>
  <c r="U212" i="7"/>
  <c r="V212" i="7" s="1"/>
  <c r="U387" i="7"/>
  <c r="V387" i="7" s="1"/>
  <c r="U216" i="7"/>
  <c r="V216" i="7" s="1"/>
  <c r="U74" i="7"/>
  <c r="V74" i="7" s="1"/>
  <c r="U396" i="7"/>
  <c r="V396" i="7" s="1"/>
  <c r="U399" i="7"/>
  <c r="V399" i="7" s="1"/>
  <c r="U402" i="7"/>
  <c r="V402" i="7" s="1"/>
  <c r="U85" i="7"/>
  <c r="V85" i="7" s="1"/>
  <c r="U404" i="7"/>
  <c r="V404" i="7" s="1"/>
  <c r="U564" i="7"/>
  <c r="V564" i="7" s="1"/>
  <c r="U94" i="7"/>
  <c r="V94" i="7" s="1"/>
  <c r="U568" i="7"/>
  <c r="V568" i="7" s="1"/>
  <c r="U569" i="7"/>
  <c r="V569" i="7" s="1"/>
  <c r="U423" i="7"/>
  <c r="V423" i="7" s="1"/>
  <c r="U253" i="7"/>
  <c r="V253" i="7" s="1"/>
  <c r="U111" i="7"/>
  <c r="V111" i="7" s="1"/>
  <c r="U114" i="7"/>
  <c r="V114" i="7" s="1"/>
  <c r="U437" i="7"/>
  <c r="V437" i="7" s="1"/>
  <c r="U266" i="7"/>
  <c r="V266" i="7" s="1"/>
  <c r="U272" i="7"/>
  <c r="V272" i="7" s="1"/>
  <c r="U447" i="7"/>
  <c r="V447" i="7" s="1"/>
  <c r="U602" i="7"/>
  <c r="V602" i="7" s="1"/>
  <c r="U277" i="7"/>
  <c r="V277" i="7" s="1"/>
  <c r="U453" i="7"/>
  <c r="V453" i="7" s="1"/>
  <c r="U462" i="7"/>
  <c r="V462" i="7" s="1"/>
  <c r="U463" i="7"/>
  <c r="V463" i="7" s="1"/>
  <c r="U466" i="7"/>
  <c r="V466" i="7" s="1"/>
  <c r="U298" i="7"/>
  <c r="V298" i="7" s="1"/>
  <c r="U145" i="7"/>
  <c r="V145" i="7" s="1"/>
  <c r="U309" i="7"/>
  <c r="V309" i="7" s="1"/>
  <c r="V35" i="7"/>
  <c r="U350" i="7"/>
  <c r="V350" i="7" s="1"/>
  <c r="U183" i="7"/>
  <c r="V183" i="7" s="1"/>
  <c r="U356" i="7"/>
  <c r="V356" i="7" s="1"/>
  <c r="U190" i="7"/>
  <c r="V190" i="7" s="1"/>
  <c r="U527" i="7"/>
  <c r="V527" i="7" s="1"/>
  <c r="U197" i="7"/>
  <c r="V197" i="7" s="1"/>
  <c r="V57" i="7"/>
  <c r="U536" i="7"/>
  <c r="V536" i="7" s="1"/>
  <c r="U382" i="7"/>
  <c r="V382" i="7" s="1"/>
  <c r="U72" i="7"/>
  <c r="V72" i="7" s="1"/>
  <c r="U76" i="7"/>
  <c r="V76" i="7" s="1"/>
  <c r="U401" i="7"/>
  <c r="V401" i="7" s="1"/>
  <c r="U560" i="7"/>
  <c r="V560" i="7" s="1"/>
  <c r="U228" i="7"/>
  <c r="V228" i="7" s="1"/>
  <c r="U409" i="7"/>
  <c r="V409" i="7" s="1"/>
  <c r="V100" i="7"/>
  <c r="U103" i="7"/>
  <c r="V103" i="7" s="1"/>
  <c r="U429" i="7"/>
  <c r="V429" i="7" s="1"/>
  <c r="U433" i="7"/>
  <c r="V433" i="7" s="1"/>
  <c r="U578" i="7"/>
  <c r="V578" i="7" s="1"/>
  <c r="U116" i="7"/>
  <c r="V116" i="7" s="1"/>
  <c r="U583" i="7"/>
  <c r="V583" i="7" s="1"/>
  <c r="V590" i="7"/>
  <c r="U599" i="7"/>
  <c r="V599" i="7" s="1"/>
  <c r="U448" i="7"/>
  <c r="V448" i="7" s="1"/>
  <c r="U614" i="7"/>
  <c r="V614" i="7" s="1"/>
  <c r="U617" i="7"/>
  <c r="V617" i="7" s="1"/>
  <c r="U133" i="7"/>
  <c r="V133" i="7" s="1"/>
  <c r="U622" i="7"/>
  <c r="V622" i="7" s="1"/>
  <c r="U292" i="7"/>
  <c r="V292" i="7" s="1"/>
  <c r="U295" i="7"/>
  <c r="V295" i="7" s="1"/>
  <c r="U143" i="7"/>
  <c r="V143" i="7" s="1"/>
  <c r="U144" i="7"/>
  <c r="V144" i="7" s="1"/>
  <c r="U279" i="7"/>
  <c r="V279" i="7" s="1"/>
  <c r="U154" i="7"/>
  <c r="V154" i="7" s="1"/>
  <c r="U488" i="7"/>
  <c r="V488" i="7" s="1"/>
  <c r="U83" i="7"/>
  <c r="V83" i="7" s="1"/>
  <c r="U502" i="7"/>
  <c r="V502" i="7" s="1"/>
  <c r="U286" i="7"/>
  <c r="V286" i="7" s="1"/>
  <c r="U152" i="7"/>
  <c r="V152" i="7" s="1"/>
  <c r="U475" i="7"/>
  <c r="V475" i="7" s="1"/>
  <c r="U148" i="7"/>
  <c r="V148" i="7" s="1"/>
  <c r="U150" i="7"/>
  <c r="V150" i="7" s="1"/>
  <c r="U478" i="7"/>
  <c r="V478" i="7" s="1"/>
  <c r="U480" i="7"/>
  <c r="V480" i="7" s="1"/>
  <c r="U158" i="7"/>
  <c r="V158" i="7" s="1"/>
  <c r="U11" i="7"/>
  <c r="V11" i="7" s="1"/>
  <c r="U485" i="7"/>
  <c r="V485" i="7" s="1"/>
  <c r="U19" i="7"/>
  <c r="V19" i="7" s="1"/>
  <c r="U322" i="7"/>
  <c r="V322" i="7" s="1"/>
  <c r="U164" i="7"/>
  <c r="V164" i="7" s="1"/>
  <c r="U21" i="7"/>
  <c r="V21" i="7" s="1"/>
  <c r="U165" i="7"/>
  <c r="V165" i="7" s="1"/>
  <c r="U496" i="7"/>
  <c r="V496" i="7" s="1"/>
  <c r="U25" i="7"/>
  <c r="V25" i="7" s="1"/>
  <c r="U338" i="7"/>
  <c r="V338" i="7" s="1"/>
  <c r="U30" i="7"/>
  <c r="V30" i="7" s="1"/>
  <c r="U172" i="7"/>
  <c r="V172" i="7" s="1"/>
  <c r="U175" i="7"/>
  <c r="V175" i="7" s="1"/>
  <c r="U177" i="7"/>
  <c r="V177" i="7" s="1"/>
  <c r="U352" i="7"/>
  <c r="V352" i="7" s="1"/>
  <c r="U186" i="7"/>
  <c r="V186" i="7" s="1"/>
  <c r="U357" i="7"/>
  <c r="V357" i="7" s="1"/>
  <c r="U48" i="7"/>
  <c r="V48" i="7" s="1"/>
  <c r="U194" i="7"/>
  <c r="V194" i="7" s="1"/>
  <c r="U52" i="7"/>
  <c r="V52" i="7" s="1"/>
  <c r="U55" i="7"/>
  <c r="V55" i="7" s="1"/>
  <c r="U377" i="7"/>
  <c r="V377" i="7" s="1"/>
  <c r="U207" i="7"/>
  <c r="V207" i="7" s="1"/>
  <c r="U62" i="7"/>
  <c r="V62" i="7" s="1"/>
  <c r="U66" i="7"/>
  <c r="V66" i="7" s="1"/>
  <c r="U546" i="7"/>
  <c r="V546" i="7" s="1"/>
  <c r="U391" i="7"/>
  <c r="V391" i="7" s="1"/>
  <c r="V221" i="7"/>
  <c r="U398" i="7"/>
  <c r="V398" i="7" s="1"/>
  <c r="U82" i="7"/>
  <c r="V82" i="7" s="1"/>
  <c r="U87" i="7"/>
  <c r="V87" i="7" s="1"/>
  <c r="U231" i="7"/>
  <c r="V231" i="7" s="1"/>
  <c r="U408" i="7"/>
  <c r="V408" i="7" s="1"/>
  <c r="U411" i="7"/>
  <c r="V411" i="7" s="1"/>
  <c r="U239" i="7"/>
  <c r="V239" i="7" s="1"/>
  <c r="U418" i="7"/>
  <c r="V418" i="7" s="1"/>
  <c r="U245" i="7"/>
  <c r="V245" i="7" s="1"/>
  <c r="U572" i="7"/>
  <c r="V572" i="7" s="1"/>
  <c r="U428" i="7"/>
  <c r="V428" i="7" s="1"/>
  <c r="V434" i="7"/>
  <c r="V261" i="7"/>
  <c r="U438" i="7"/>
  <c r="V438" i="7" s="1"/>
  <c r="U268" i="7"/>
  <c r="V268" i="7" s="1"/>
  <c r="U588" i="7"/>
  <c r="V588" i="7" s="1"/>
  <c r="U443" i="7"/>
  <c r="V443" i="7" s="1"/>
  <c r="U122" i="7"/>
  <c r="V122" i="7" s="1"/>
  <c r="U611" i="7"/>
  <c r="V611" i="7" s="1"/>
  <c r="U613" i="7"/>
  <c r="V613" i="7" s="1"/>
  <c r="U130" i="7"/>
  <c r="V130" i="7" s="1"/>
  <c r="U629" i="7"/>
  <c r="V629" i="7" s="1"/>
  <c r="U303" i="7"/>
  <c r="V303" i="7" s="1"/>
  <c r="U104" i="7"/>
  <c r="V104" i="7" s="1"/>
  <c r="U22" i="7"/>
  <c r="V22" i="7" s="1"/>
  <c r="U477" i="7"/>
  <c r="V477" i="7" s="1"/>
  <c r="U156" i="7"/>
  <c r="V156" i="7" s="1"/>
  <c r="U319" i="7"/>
  <c r="V319" i="7" s="1"/>
  <c r="U160" i="7"/>
  <c r="V160" i="7" s="1"/>
  <c r="U490" i="7"/>
  <c r="V490" i="7" s="1"/>
  <c r="U23" i="7"/>
  <c r="V23" i="7" s="1"/>
  <c r="U168" i="7"/>
  <c r="V168" i="7" s="1"/>
  <c r="U170" i="7"/>
  <c r="V170" i="7" s="1"/>
  <c r="U348" i="7"/>
  <c r="V348" i="7" s="1"/>
  <c r="U181" i="7"/>
  <c r="V181" i="7" s="1"/>
  <c r="U44" i="7"/>
  <c r="V44" i="7" s="1"/>
  <c r="U360" i="7"/>
  <c r="V360" i="7" s="1"/>
  <c r="U193" i="7"/>
  <c r="V193" i="7" s="1"/>
  <c r="U195" i="7"/>
  <c r="V195" i="7" s="1"/>
  <c r="U532" i="7"/>
  <c r="V532" i="7" s="1"/>
  <c r="U380" i="7"/>
  <c r="V380" i="7" s="1"/>
  <c r="U211" i="7"/>
  <c r="V211" i="7" s="1"/>
  <c r="U383" i="7"/>
  <c r="V383" i="7" s="1"/>
  <c r="V392" i="7"/>
  <c r="U4" i="7"/>
  <c r="V4" i="7" s="1"/>
  <c r="U71" i="7"/>
  <c r="V71" i="7" s="1"/>
  <c r="V534" i="7"/>
  <c r="V166" i="7"/>
  <c r="V7" i="7"/>
  <c r="U304" i="7"/>
  <c r="V304" i="7" s="1"/>
  <c r="U157" i="7"/>
  <c r="V157" i="7" s="1"/>
  <c r="U484" i="7"/>
  <c r="V484" i="7" s="1"/>
  <c r="U161" i="7"/>
  <c r="V161" i="7" s="1"/>
  <c r="U327" i="7"/>
  <c r="V327" i="7" s="1"/>
  <c r="U495" i="7"/>
  <c r="V495" i="7" s="1"/>
  <c r="U26" i="7"/>
  <c r="V26" i="7" s="1"/>
  <c r="U344" i="7"/>
  <c r="V344" i="7" s="1"/>
  <c r="U515" i="7"/>
  <c r="V515" i="7" s="1"/>
  <c r="U43" i="7"/>
  <c r="V43" i="7" s="1"/>
  <c r="U367" i="7"/>
  <c r="V367" i="7" s="1"/>
  <c r="U56" i="7"/>
  <c r="V56" i="7" s="1"/>
  <c r="U373" i="7"/>
  <c r="V373" i="7" s="1"/>
  <c r="U376" i="7"/>
  <c r="V376" i="7" s="1"/>
  <c r="U60" i="7"/>
  <c r="V60" i="7" s="1"/>
  <c r="U205" i="7"/>
  <c r="V205" i="7" s="1"/>
  <c r="V385" i="7"/>
  <c r="U69" i="7"/>
  <c r="V69" i="7" s="1"/>
  <c r="U548" i="7"/>
  <c r="V548" i="7" s="1"/>
  <c r="U549" i="7"/>
  <c r="V549" i="7" s="1"/>
  <c r="U214" i="7"/>
  <c r="V214" i="7" s="1"/>
  <c r="U2" i="7"/>
  <c r="V2" i="7" s="1"/>
  <c r="U306" i="7"/>
  <c r="V306" i="7" s="1"/>
  <c r="U308" i="7"/>
  <c r="V308" i="7" s="1"/>
  <c r="U6" i="7"/>
  <c r="V6" i="7" s="1"/>
  <c r="U9" i="7"/>
  <c r="V9" i="7" s="1"/>
  <c r="U482" i="7"/>
  <c r="V482" i="7" s="1"/>
  <c r="U14" i="7"/>
  <c r="V14" i="7" s="1"/>
  <c r="U17" i="7"/>
  <c r="V17" i="7" s="1"/>
  <c r="U162" i="7"/>
  <c r="V162" i="7" s="1"/>
  <c r="U491" i="7"/>
  <c r="V491" i="7" s="1"/>
  <c r="U328" i="7"/>
  <c r="V328" i="7" s="1"/>
  <c r="U493" i="7"/>
  <c r="V493" i="7" s="1"/>
  <c r="U332" i="7"/>
  <c r="V332" i="7" s="1"/>
  <c r="U497" i="7"/>
  <c r="V497" i="7" s="1"/>
  <c r="U169" i="7"/>
  <c r="V169" i="7" s="1"/>
  <c r="U503" i="7"/>
  <c r="V503" i="7" s="1"/>
  <c r="U31" i="7"/>
  <c r="V31" i="7" s="1"/>
  <c r="U343" i="7"/>
  <c r="V343" i="7" s="1"/>
  <c r="U507" i="7"/>
  <c r="V507" i="7" s="1"/>
  <c r="U38" i="7"/>
  <c r="V38" i="7" s="1"/>
  <c r="U347" i="7"/>
  <c r="V347" i="7" s="1"/>
  <c r="U349" i="7"/>
  <c r="V349" i="7" s="1"/>
  <c r="U179" i="7"/>
  <c r="V179" i="7" s="1"/>
  <c r="U518" i="7"/>
  <c r="V518" i="7" s="1"/>
  <c r="U189" i="7"/>
  <c r="V189" i="7" s="1"/>
  <c r="U523" i="7"/>
  <c r="V523" i="7" s="1"/>
  <c r="U49" i="7"/>
  <c r="V49" i="7" s="1"/>
  <c r="U530" i="7"/>
  <c r="V530" i="7" s="1"/>
  <c r="U54" i="7"/>
  <c r="V54" i="7" s="1"/>
  <c r="V369" i="7"/>
  <c r="U201" i="7"/>
  <c r="V201" i="7" s="1"/>
  <c r="U533" i="7"/>
  <c r="V533" i="7" s="1"/>
  <c r="U375" i="7"/>
  <c r="V375" i="7" s="1"/>
  <c r="U203" i="7"/>
  <c r="V203" i="7" s="1"/>
  <c r="U208" i="7"/>
  <c r="V208" i="7" s="1"/>
  <c r="U64" i="7"/>
  <c r="V64" i="7" s="1"/>
  <c r="U65" i="7"/>
  <c r="V65" i="7" s="1"/>
  <c r="U545" i="7"/>
  <c r="V545" i="7" s="1"/>
  <c r="U217" i="7"/>
  <c r="V217" i="7" s="1"/>
  <c r="U219" i="7"/>
  <c r="V219" i="7" s="1"/>
  <c r="U222" i="7"/>
  <c r="V222" i="7" s="1"/>
  <c r="U554" i="7"/>
  <c r="V554" i="7" s="1"/>
  <c r="U80" i="7"/>
  <c r="V80" i="7" s="1"/>
  <c r="U223" i="7"/>
  <c r="V223" i="7" s="1"/>
  <c r="U559" i="7"/>
  <c r="V559" i="7" s="1"/>
  <c r="U86" i="7"/>
  <c r="V86" i="7" s="1"/>
  <c r="U91" i="7"/>
  <c r="V91" i="7" s="1"/>
  <c r="U407" i="7"/>
  <c r="V407" i="7" s="1"/>
  <c r="U92" i="7"/>
  <c r="V92" i="7" s="1"/>
  <c r="U417" i="7"/>
  <c r="V417" i="7" s="1"/>
  <c r="U420" i="7"/>
  <c r="V420" i="7" s="1"/>
  <c r="U421" i="7"/>
  <c r="V421" i="7" s="1"/>
  <c r="U248" i="7"/>
  <c r="V248" i="7" s="1"/>
  <c r="U425" i="7"/>
  <c r="V425" i="7" s="1"/>
  <c r="U251" i="7"/>
  <c r="V251" i="7" s="1"/>
  <c r="U108" i="7"/>
  <c r="V108" i="7" s="1"/>
  <c r="U574" i="7"/>
  <c r="V574" i="7" s="1"/>
  <c r="U577" i="7"/>
  <c r="V577" i="7" s="1"/>
  <c r="U260" i="7"/>
  <c r="V260" i="7" s="1"/>
  <c r="U262" i="7"/>
  <c r="V262" i="7" s="1"/>
  <c r="U436" i="7"/>
  <c r="V436" i="7" s="1"/>
  <c r="U119" i="7"/>
  <c r="V119" i="7" s="1"/>
  <c r="U440" i="7"/>
  <c r="V440" i="7" s="1"/>
  <c r="U592" i="7"/>
  <c r="V592" i="7" s="1"/>
  <c r="U442" i="7"/>
  <c r="V442" i="7" s="1"/>
  <c r="V271" i="7"/>
  <c r="U598" i="7"/>
  <c r="V598" i="7" s="1"/>
  <c r="U446" i="7"/>
  <c r="V446" i="7" s="1"/>
  <c r="U449" i="7"/>
  <c r="V449" i="7" s="1"/>
  <c r="U608" i="7"/>
  <c r="V608" i="7" s="1"/>
  <c r="U281" i="7"/>
  <c r="V281" i="7" s="1"/>
  <c r="U131" i="7"/>
  <c r="V131" i="7" s="1"/>
  <c r="U132" i="7"/>
  <c r="V132" i="7" s="1"/>
  <c r="U461" i="7"/>
  <c r="V461" i="7" s="1"/>
  <c r="U625" i="7"/>
  <c r="V625" i="7" s="1"/>
  <c r="U464" i="7"/>
  <c r="V464" i="7" s="1"/>
  <c r="U139" i="7"/>
  <c r="V139" i="7" s="1"/>
  <c r="U296" i="7"/>
  <c r="V296" i="7" s="1"/>
  <c r="U125" i="7"/>
  <c r="V125" i="7" s="1"/>
  <c r="U270" i="7"/>
  <c r="V270" i="7" s="1"/>
  <c r="U566" i="7"/>
  <c r="V566" i="7" s="1"/>
  <c r="U542" i="7"/>
  <c r="V542" i="7" s="1"/>
  <c r="U381" i="7"/>
  <c r="V381" i="7" s="1"/>
  <c r="U59" i="7"/>
  <c r="V59" i="7" s="1"/>
  <c r="U320" i="7"/>
  <c r="V320" i="7" s="1"/>
  <c r="U8" i="7"/>
  <c r="V8" i="7" s="1"/>
  <c r="V192" i="7"/>
  <c r="V173" i="7"/>
  <c r="U307" i="7"/>
  <c r="V307" i="7" s="1"/>
  <c r="U315" i="7"/>
  <c r="V315" i="7" s="1"/>
  <c r="U330" i="7"/>
  <c r="V330" i="7" s="1"/>
  <c r="U167" i="7"/>
  <c r="V167" i="7" s="1"/>
  <c r="U336" i="7"/>
  <c r="V336" i="7" s="1"/>
  <c r="U506" i="7"/>
  <c r="V506" i="7" s="1"/>
  <c r="U511" i="7"/>
  <c r="V511" i="7" s="1"/>
  <c r="U522" i="7"/>
  <c r="V522" i="7" s="1"/>
  <c r="U394" i="7"/>
  <c r="V394" i="7" s="1"/>
  <c r="U213" i="7"/>
  <c r="V213" i="7" s="1"/>
  <c r="U539" i="7"/>
  <c r="V539" i="7" s="1"/>
  <c r="U514" i="7"/>
  <c r="V514" i="7" s="1"/>
  <c r="U37" i="7"/>
  <c r="V37" i="7" s="1"/>
  <c r="U504" i="7"/>
  <c r="V504" i="7" s="1"/>
  <c r="U13" i="7"/>
  <c r="V13" i="7" s="1"/>
  <c r="U310" i="7"/>
  <c r="V310" i="7" s="1"/>
  <c r="V610" i="7"/>
  <c r="V597" i="7"/>
  <c r="V98" i="7"/>
  <c r="V81" i="7"/>
  <c r="V341" i="7"/>
  <c r="V151" i="7"/>
  <c r="U149" i="7"/>
  <c r="V149" i="7" s="1"/>
  <c r="U479" i="7"/>
  <c r="V479" i="7" s="1"/>
  <c r="U159" i="7"/>
  <c r="V159" i="7" s="1"/>
  <c r="U321" i="7"/>
  <c r="V321" i="7" s="1"/>
  <c r="U163" i="7"/>
  <c r="V163" i="7" s="1"/>
  <c r="U339" i="7"/>
  <c r="V339" i="7" s="1"/>
  <c r="U33" i="7"/>
  <c r="V33" i="7" s="1"/>
  <c r="U174" i="7"/>
  <c r="V174" i="7" s="1"/>
  <c r="U41" i="7"/>
  <c r="V41" i="7" s="1"/>
  <c r="U185" i="7"/>
  <c r="V185" i="7" s="1"/>
  <c r="U521" i="7"/>
  <c r="V521" i="7" s="1"/>
  <c r="U362" i="7"/>
  <c r="V362" i="7" s="1"/>
  <c r="U53" i="7"/>
  <c r="V53" i="7" s="1"/>
  <c r="U544" i="7"/>
  <c r="V544" i="7" s="1"/>
  <c r="V305" i="7"/>
  <c r="U5" i="7"/>
  <c r="V5" i="7" s="1"/>
  <c r="U155" i="7"/>
  <c r="V155" i="7" s="1"/>
  <c r="U312" i="7"/>
  <c r="V312" i="7" s="1"/>
  <c r="U314" i="7"/>
  <c r="V314" i="7" s="1"/>
  <c r="U318" i="7"/>
  <c r="V318" i="7" s="1"/>
  <c r="U12" i="7"/>
  <c r="V12" i="7" s="1"/>
  <c r="U18" i="7"/>
  <c r="V18" i="7" s="1"/>
  <c r="U324" i="7"/>
  <c r="V324" i="7" s="1"/>
  <c r="U326" i="7"/>
  <c r="V326" i="7" s="1"/>
  <c r="U334" i="7"/>
  <c r="V334" i="7" s="1"/>
  <c r="U500" i="7"/>
  <c r="V500" i="7" s="1"/>
  <c r="U29" i="7"/>
  <c r="V29" i="7" s="1"/>
  <c r="U171" i="7"/>
  <c r="V171" i="7" s="1"/>
  <c r="U509" i="7"/>
  <c r="V509" i="7" s="1"/>
  <c r="U346" i="7"/>
  <c r="V346" i="7" s="1"/>
  <c r="U176" i="7"/>
  <c r="V176" i="7" s="1"/>
  <c r="U351" i="7"/>
  <c r="V351" i="7" s="1"/>
  <c r="V42" i="7"/>
  <c r="U182" i="7"/>
  <c r="V182" i="7" s="1"/>
  <c r="U353" i="7"/>
  <c r="V353" i="7" s="1"/>
  <c r="U519" i="7"/>
  <c r="V519" i="7" s="1"/>
  <c r="V520" i="7"/>
  <c r="U46" i="7"/>
  <c r="V46" i="7" s="1"/>
  <c r="U358" i="7"/>
  <c r="V358" i="7" s="1"/>
  <c r="V524" i="7"/>
  <c r="U529" i="7"/>
  <c r="V529" i="7" s="1"/>
  <c r="U365" i="7"/>
  <c r="V365" i="7" s="1"/>
  <c r="V51" i="7"/>
  <c r="U368" i="7"/>
  <c r="V368" i="7" s="1"/>
  <c r="V371" i="7"/>
  <c r="U374" i="7"/>
  <c r="V374" i="7" s="1"/>
  <c r="U204" i="7"/>
  <c r="V204" i="7" s="1"/>
  <c r="U538" i="7"/>
  <c r="V538" i="7" s="1"/>
  <c r="U209" i="7"/>
  <c r="V209" i="7" s="1"/>
  <c r="V540" i="7"/>
  <c r="U386" i="7"/>
  <c r="V386" i="7" s="1"/>
  <c r="U543" i="7"/>
  <c r="V543" i="7" s="1"/>
  <c r="V215" i="7"/>
  <c r="V390" i="7"/>
  <c r="U218" i="7"/>
  <c r="V218" i="7" s="1"/>
  <c r="U73" i="7"/>
  <c r="V73" i="7" s="1"/>
  <c r="U395" i="7"/>
  <c r="V395" i="7" s="1"/>
  <c r="U78" i="7"/>
  <c r="V78" i="7" s="1"/>
  <c r="U84" i="7"/>
  <c r="V84" i="7" s="1"/>
  <c r="U227" i="7"/>
  <c r="V227" i="7" s="1"/>
  <c r="V88" i="7"/>
  <c r="U232" i="7"/>
  <c r="V232" i="7" s="1"/>
  <c r="U235" i="7"/>
  <c r="V235" i="7" s="1"/>
  <c r="U237" i="7"/>
  <c r="V237" i="7" s="1"/>
  <c r="U93" i="7"/>
  <c r="V93" i="7" s="1"/>
  <c r="U567" i="7"/>
  <c r="V567" i="7" s="1"/>
  <c r="V241" i="7"/>
  <c r="U97" i="7"/>
  <c r="V97" i="7" s="1"/>
  <c r="U99" i="7"/>
  <c r="V99" i="7" s="1"/>
  <c r="V424" i="7"/>
  <c r="U107" i="7"/>
  <c r="V107" i="7" s="1"/>
  <c r="U109" i="7"/>
  <c r="V109" i="7" s="1"/>
  <c r="V576" i="7"/>
  <c r="U258" i="7"/>
  <c r="V258" i="7" s="1"/>
  <c r="V579" i="7"/>
  <c r="U263" i="7"/>
  <c r="V263" i="7" s="1"/>
  <c r="U118" i="7"/>
  <c r="V118" i="7" s="1"/>
  <c r="U267" i="7"/>
  <c r="V267" i="7" s="1"/>
  <c r="U589" i="7"/>
  <c r="V589" i="7" s="1"/>
  <c r="U595" i="7"/>
  <c r="V595" i="7" s="1"/>
  <c r="U445" i="7"/>
  <c r="V445" i="7" s="1"/>
  <c r="V600" i="7"/>
  <c r="U607" i="7"/>
  <c r="V607" i="7" s="1"/>
  <c r="U609" i="7"/>
  <c r="V609" i="7" s="1"/>
  <c r="U127" i="7"/>
  <c r="V127" i="7" s="1"/>
  <c r="V612" i="7"/>
  <c r="U282" i="7"/>
  <c r="V282" i="7" s="1"/>
  <c r="U129" i="7"/>
  <c r="V129" i="7" s="1"/>
  <c r="U458" i="7"/>
  <c r="V458" i="7" s="1"/>
  <c r="U618" i="7"/>
  <c r="V618" i="7" s="1"/>
  <c r="V290" i="7"/>
  <c r="U137" i="7"/>
  <c r="V137" i="7" s="1"/>
  <c r="U294" i="7"/>
  <c r="V294" i="7" s="1"/>
  <c r="U468" i="7"/>
  <c r="V468" i="7" s="1"/>
  <c r="U136" i="7"/>
  <c r="V136" i="7" s="1"/>
  <c r="U585" i="7"/>
  <c r="V585" i="7" s="1"/>
  <c r="U400" i="7"/>
  <c r="V400" i="7" s="1"/>
  <c r="U393" i="7"/>
  <c r="V393" i="7" s="1"/>
  <c r="U389" i="7"/>
  <c r="V389" i="7" s="1"/>
  <c r="U61" i="7"/>
  <c r="V61" i="7" s="1"/>
  <c r="U58" i="7"/>
  <c r="V58" i="7" s="1"/>
  <c r="U36" i="7"/>
  <c r="V36" i="7" s="1"/>
  <c r="U337" i="7"/>
  <c r="V337" i="7" s="1"/>
  <c r="U10" i="7"/>
  <c r="V10" i="7" s="1"/>
  <c r="V465" i="7"/>
  <c r="V457" i="7"/>
  <c r="V432" i="7"/>
  <c r="V233" i="7"/>
  <c r="V40" i="7"/>
  <c r="U146" i="7"/>
  <c r="V146" i="7" s="1"/>
  <c r="U302" i="7"/>
  <c r="V302" i="7" s="1"/>
  <c r="U632" i="7"/>
  <c r="V632" i="7" s="1"/>
  <c r="V299" i="7"/>
  <c r="U628" i="7"/>
  <c r="V628" i="7" s="1"/>
  <c r="U633" i="7"/>
  <c r="V633" i="7" s="1"/>
  <c r="V550" i="7"/>
  <c r="V556" i="7"/>
  <c r="V224" i="7"/>
  <c r="V90" i="7"/>
  <c r="V234" i="7"/>
  <c r="V413" i="7"/>
  <c r="V415" i="7"/>
  <c r="V242" i="7"/>
  <c r="V244" i="7"/>
  <c r="V105" i="7"/>
  <c r="V259" i="7"/>
  <c r="V121" i="7"/>
  <c r="V273" i="7"/>
  <c r="V124" i="7"/>
  <c r="V603" i="7"/>
  <c r="V278" i="7"/>
  <c r="V284" i="7"/>
  <c r="V291" i="7"/>
  <c r="V138" i="7"/>
  <c r="V631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148BBC-6271-45D9-A5DD-5E4156670A25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A967EC8-F85B-423B-8B8E-696AABB5C861}" name="WorksheetConnection_Data!$C$1:$O$633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C1O6331"/>
        </x15:connection>
      </ext>
    </extLst>
  </connection>
</connections>
</file>

<file path=xl/sharedStrings.xml><?xml version="1.0" encoding="utf-8"?>
<sst xmlns="http://schemas.openxmlformats.org/spreadsheetml/2006/main" count="12147" uniqueCount="1446">
  <si>
    <t>OrderID</t>
  </si>
  <si>
    <t>OrderDate</t>
  </si>
  <si>
    <t>RequiredDate</t>
  </si>
  <si>
    <t>Region</t>
  </si>
  <si>
    <t>Country</t>
  </si>
  <si>
    <t>City</t>
  </si>
  <si>
    <t>CustomerSegment</t>
  </si>
  <si>
    <t>Channel</t>
  </si>
  <si>
    <t>Salesperson</t>
  </si>
  <si>
    <t>ProductCategory</t>
  </si>
  <si>
    <t>SKU</t>
  </si>
  <si>
    <t>UnitCost</t>
  </si>
  <si>
    <t>UnitPrice</t>
  </si>
  <si>
    <t>DiscountPct</t>
  </si>
  <si>
    <t>Quantity</t>
  </si>
  <si>
    <t>ORD-2024-275203</t>
  </si>
  <si>
    <t>ORD-2024-358795</t>
  </si>
  <si>
    <t>ORD-2023-373538</t>
  </si>
  <si>
    <t>ORD-2025-168148</t>
  </si>
  <si>
    <t>ORD-2023-824839</t>
  </si>
  <si>
    <t>ORD-2023-723587</t>
  </si>
  <si>
    <t>ORD-2024-336584</t>
  </si>
  <si>
    <t>ORD-2023-112666</t>
  </si>
  <si>
    <t>ORD-2024-589570</t>
  </si>
  <si>
    <t>ORD-2025-997421</t>
  </si>
  <si>
    <t>ORD-2024-210687</t>
  </si>
  <si>
    <t>ORD-2025-515515</t>
  </si>
  <si>
    <t>ORD-2025-487261</t>
  </si>
  <si>
    <t>ORD-2024-890180</t>
  </si>
  <si>
    <t>ORD-2025-840976</t>
  </si>
  <si>
    <t>ORD-2023-937291</t>
  </si>
  <si>
    <t>ORD-2024-206081</t>
  </si>
  <si>
    <t>ORD-2025-233883</t>
  </si>
  <si>
    <t>ORD-2025-843974</t>
  </si>
  <si>
    <t>ORD-2025-745263</t>
  </si>
  <si>
    <t>ORD-2024-798002</t>
  </si>
  <si>
    <t>ORD-2023-867836</t>
  </si>
  <si>
    <t>ORD-2025-580047</t>
  </si>
  <si>
    <t>ORD-2024-500109</t>
  </si>
  <si>
    <t>ORD-2023-271836</t>
  </si>
  <si>
    <t>ORD-2024-215294</t>
  </si>
  <si>
    <t>ORD-2024-788105</t>
  </si>
  <si>
    <t>ORD-2024-855073</t>
  </si>
  <si>
    <t>ORD-2023-897079</t>
  </si>
  <si>
    <t>ORD-2025-548982</t>
  </si>
  <si>
    <t>ORD-2024-170313</t>
  </si>
  <si>
    <t>ORD-2023-562894</t>
  </si>
  <si>
    <t>ORD-2025-474710</t>
  </si>
  <si>
    <t>ORD-2024-629525</t>
  </si>
  <si>
    <t>ORD-2024-167215</t>
  </si>
  <si>
    <t>ORD-2023-864121</t>
  </si>
  <si>
    <t>ORD-2024-692673</t>
  </si>
  <si>
    <t>ORD-2025-718992</t>
  </si>
  <si>
    <t>ORD-2024-599522</t>
  </si>
  <si>
    <t>ORD-2023-651638</t>
  </si>
  <si>
    <t>ORD-2024-635626</t>
  </si>
  <si>
    <t>ORD-2024-296582</t>
  </si>
  <si>
    <t>ORD-2024-998320</t>
  </si>
  <si>
    <t>ORD-2025-820255</t>
  </si>
  <si>
    <t>ORD-2024-389336</t>
  </si>
  <si>
    <t>ORD-2023-308124</t>
  </si>
  <si>
    <t>ORD-2023-128295</t>
  </si>
  <si>
    <t>ORD-2024-548345</t>
  </si>
  <si>
    <t>ORD-2024-966651</t>
  </si>
  <si>
    <t>ORD-2023-292714</t>
  </si>
  <si>
    <t>ORD-2024-468501</t>
  </si>
  <si>
    <t>ORD-2024-260775</t>
  </si>
  <si>
    <t>ORD-2023-419187</t>
  </si>
  <si>
    <t>ORD-2025-578007</t>
  </si>
  <si>
    <t>ORD-2023-235230</t>
  </si>
  <si>
    <t>ORD-2025-765220</t>
  </si>
  <si>
    <t>ORD-2025-931538</t>
  </si>
  <si>
    <t>ORD-2024-289089</t>
  </si>
  <si>
    <t>ORD-2025-639542</t>
  </si>
  <si>
    <t>ORD-2025-762301</t>
  </si>
  <si>
    <t>ORD-2024-906395</t>
  </si>
  <si>
    <t>ORD-2025-779574</t>
  </si>
  <si>
    <t>ORD-2025-526650</t>
  </si>
  <si>
    <t>ORD-2024-247979</t>
  </si>
  <si>
    <t>ORD-2023-480975</t>
  </si>
  <si>
    <t>ORD-2023-239789</t>
  </si>
  <si>
    <t>ORD-2023-548874</t>
  </si>
  <si>
    <t>ORD-2024-347736</t>
  </si>
  <si>
    <t>ORD-2023-749324</t>
  </si>
  <si>
    <t>ORD-2023-809913</t>
  </si>
  <si>
    <t>ORD-2024-287210</t>
  </si>
  <si>
    <t>ORD-2025-640677</t>
  </si>
  <si>
    <t>ORD-2024-939873</t>
  </si>
  <si>
    <t>ORD-2024-800947</t>
  </si>
  <si>
    <t>ORD-2023-382272</t>
  </si>
  <si>
    <t>ORD-2023-722117</t>
  </si>
  <si>
    <t>ORD-2024-446699</t>
  </si>
  <si>
    <t>ORD-2024-451005</t>
  </si>
  <si>
    <t>ORD-2023-290279</t>
  </si>
  <si>
    <t>ORD-2024-192263</t>
  </si>
  <si>
    <t>ORD-2023-159379</t>
  </si>
  <si>
    <t>ORD-2023-343322</t>
  </si>
  <si>
    <t>ORD-2025-114382</t>
  </si>
  <si>
    <t>ORD-2025-488349</t>
  </si>
  <si>
    <t>ORD-2025-330203</t>
  </si>
  <si>
    <t>ORD-2023-841426</t>
  </si>
  <si>
    <t>ORD-2024-594592</t>
  </si>
  <si>
    <t>ORD-2025-863978</t>
  </si>
  <si>
    <t>ORD-2024-604471</t>
  </si>
  <si>
    <t>ORD-2023-258768</t>
  </si>
  <si>
    <t>ORD-2025-626047</t>
  </si>
  <si>
    <t>ORD-2025-526752</t>
  </si>
  <si>
    <t>ORD-2023-374486</t>
  </si>
  <si>
    <t>ORD-2024-997336</t>
  </si>
  <si>
    <t>ORD-2025-725646</t>
  </si>
  <si>
    <t>ORD-2023-868734</t>
  </si>
  <si>
    <t>ORD-2025-262491</t>
  </si>
  <si>
    <t>ORD-2024-638884</t>
  </si>
  <si>
    <t>ORD-2025-541501</t>
  </si>
  <si>
    <t>ORD-2023-422918</t>
  </si>
  <si>
    <t>ORD-2025-328504</t>
  </si>
  <si>
    <t>ORD-2024-851883</t>
  </si>
  <si>
    <t>ORD-2025-662997</t>
  </si>
  <si>
    <t>ORD-2024-478165</t>
  </si>
  <si>
    <t>ORD-2024-771210</t>
  </si>
  <si>
    <t>ORD-2024-155337</t>
  </si>
  <si>
    <t>ORD-2023-251563</t>
  </si>
  <si>
    <t>ORD-2024-286833</t>
  </si>
  <si>
    <t>ORD-2024-792558</t>
  </si>
  <si>
    <t>ORD-2024-166150</t>
  </si>
  <si>
    <t>ORD-2024-909942</t>
  </si>
  <si>
    <t>ORD-2024-223618</t>
  </si>
  <si>
    <t>ORD-2024-919471</t>
  </si>
  <si>
    <t>ORD-2025-649239</t>
  </si>
  <si>
    <t>ORD-2023-975863</t>
  </si>
  <si>
    <t>ORD-2023-869884</t>
  </si>
  <si>
    <t>ORD-2025-698069</t>
  </si>
  <si>
    <t>ORD-2024-474999</t>
  </si>
  <si>
    <t>ORD-2023-427304</t>
  </si>
  <si>
    <t>ORD-2025-956101</t>
  </si>
  <si>
    <t>ORD-2025-184082</t>
  </si>
  <si>
    <t>ORD-2023-576840</t>
  </si>
  <si>
    <t>ORD-2023-178249</t>
  </si>
  <si>
    <t>ORD-2024-588972</t>
  </si>
  <si>
    <t>ORD-2023-603238</t>
  </si>
  <si>
    <t>ORD-2023-883066</t>
  </si>
  <si>
    <t>ORD-2024-584090</t>
  </si>
  <si>
    <t>ORD-2025-537785</t>
  </si>
  <si>
    <t>ORD-2024-605518</t>
  </si>
  <si>
    <t>ORD-2023-521818</t>
  </si>
  <si>
    <t>ORD-2025-650719</t>
  </si>
  <si>
    <t>ORD-2025-501927</t>
  </si>
  <si>
    <t>ORD-2023-430904</t>
  </si>
  <si>
    <t>ORD-2025-354346</t>
  </si>
  <si>
    <t>ORD-2024-164288</t>
  </si>
  <si>
    <t>ORD-2023-867285</t>
  </si>
  <si>
    <t>ORD-2024-836421</t>
  </si>
  <si>
    <t>ORD-2023-613287</t>
  </si>
  <si>
    <t>ORD-2024-783321</t>
  </si>
  <si>
    <t>ORD-2024-232632</t>
  </si>
  <si>
    <t>ORD-2023-906481</t>
  </si>
  <si>
    <t>ORD-2024-902741</t>
  </si>
  <si>
    <t>ORD-2023-912395</t>
  </si>
  <si>
    <t>ORD-2024-389102</t>
  </si>
  <si>
    <t>ORD-2023-309373</t>
  </si>
  <si>
    <t>ORD-2023-825495</t>
  </si>
  <si>
    <t>ORD-2025-244832</t>
  </si>
  <si>
    <t>ORD-2024-211453</t>
  </si>
  <si>
    <t>ORD-2023-192324</t>
  </si>
  <si>
    <t>ORD-2024-438404</t>
  </si>
  <si>
    <t>ORD-2025-246470</t>
  </si>
  <si>
    <t>ORD-2023-497686</t>
  </si>
  <si>
    <t>ORD-2023-596758</t>
  </si>
  <si>
    <t>ORD-2024-201376</t>
  </si>
  <si>
    <t>ORD-2023-842488</t>
  </si>
  <si>
    <t>ORD-2024-136321</t>
  </si>
  <si>
    <t>ORD-2024-764468</t>
  </si>
  <si>
    <t>ORD-2024-553449</t>
  </si>
  <si>
    <t>ORD-2025-766923</t>
  </si>
  <si>
    <t>ORD-2025-418232</t>
  </si>
  <si>
    <t>ORD-2023-848013</t>
  </si>
  <si>
    <t>ORD-2024-357368</t>
  </si>
  <si>
    <t>ORD-2024-219735</t>
  </si>
  <si>
    <t>ORD-2023-240507</t>
  </si>
  <si>
    <t>ORD-2024-134084</t>
  </si>
  <si>
    <t>ORD-2023-884625</t>
  </si>
  <si>
    <t>ORD-2023-157993</t>
  </si>
  <si>
    <t>ORD-2024-329104</t>
  </si>
  <si>
    <t>ORD-2023-304451</t>
  </si>
  <si>
    <t>ORD-2024-942981</t>
  </si>
  <si>
    <t>ORD-2024-605629</t>
  </si>
  <si>
    <t>ORD-2023-450877</t>
  </si>
  <si>
    <t>ORD-2023-286994</t>
  </si>
  <si>
    <t>ORD-2025-700847</t>
  </si>
  <si>
    <t>ORD-2024-970848</t>
  </si>
  <si>
    <t>ORD-2025-845715</t>
  </si>
  <si>
    <t>ORD-2023-664749</t>
  </si>
  <si>
    <t>ORD-2024-960952</t>
  </si>
  <si>
    <t>ORD-2023-987700</t>
  </si>
  <si>
    <t>ORD-2025-652467</t>
  </si>
  <si>
    <t>ORD-2025-667201</t>
  </si>
  <si>
    <t>ORD-2024-237478</t>
  </si>
  <si>
    <t>ORD-2025-898843</t>
  </si>
  <si>
    <t>ORD-2023-334213</t>
  </si>
  <si>
    <t>ORD-2024-640340</t>
  </si>
  <si>
    <t>ORD-2023-399631</t>
  </si>
  <si>
    <t>ORD-2025-542939</t>
  </si>
  <si>
    <t>ORD-2023-825836</t>
  </si>
  <si>
    <t>ORD-2024-503082</t>
  </si>
  <si>
    <t>ORD-2024-760799</t>
  </si>
  <si>
    <t>ORD-2023-197661</t>
  </si>
  <si>
    <t>ORD-2024-212990</t>
  </si>
  <si>
    <t>ORD-2023-925146</t>
  </si>
  <si>
    <t>ORD-2023-177794</t>
  </si>
  <si>
    <t>ORD-2024-444710</t>
  </si>
  <si>
    <t>ORD-2024-668926</t>
  </si>
  <si>
    <t>ORD-2024-968374</t>
  </si>
  <si>
    <t>ORD-2023-575584</t>
  </si>
  <si>
    <t>ORD-2023-701153</t>
  </si>
  <si>
    <t>ORD-2023-382017</t>
  </si>
  <si>
    <t>ORD-2024-999607</t>
  </si>
  <si>
    <t>ORD-2023-133848</t>
  </si>
  <si>
    <t>ORD-2023-586275</t>
  </si>
  <si>
    <t>ORD-2025-964661</t>
  </si>
  <si>
    <t>ORD-2023-390998</t>
  </si>
  <si>
    <t>ORD-2023-920483</t>
  </si>
  <si>
    <t>ORD-2025-146850</t>
  </si>
  <si>
    <t>ORD-2024-687100</t>
  </si>
  <si>
    <t>ORD-2025-629393</t>
  </si>
  <si>
    <t>ORD-2024-686712</t>
  </si>
  <si>
    <t>ORD-2025-586799</t>
  </si>
  <si>
    <t>ORD-2024-988736</t>
  </si>
  <si>
    <t>ORD-2025-564184</t>
  </si>
  <si>
    <t>ORD-2023-653343</t>
  </si>
  <si>
    <t>ORD-2024-197852</t>
  </si>
  <si>
    <t>ORD-2023-431328</t>
  </si>
  <si>
    <t>ORD-2023-613317</t>
  </si>
  <si>
    <t>ORD-2024-720756</t>
  </si>
  <si>
    <t>ORD-2024-777623</t>
  </si>
  <si>
    <t>ORD-2025-762212</t>
  </si>
  <si>
    <t>ORD-2023-271918</t>
  </si>
  <si>
    <t>ORD-2023-713375</t>
  </si>
  <si>
    <t>ORD-2025-678688</t>
  </si>
  <si>
    <t>ORD-2023-501220</t>
  </si>
  <si>
    <t>ORD-2023-195665</t>
  </si>
  <si>
    <t>ORD-2023-290237</t>
  </si>
  <si>
    <t>ORD-2023-302041</t>
  </si>
  <si>
    <t>ORD-2025-289139</t>
  </si>
  <si>
    <t>ORD-2023-949710</t>
  </si>
  <si>
    <t>ORD-2023-603650</t>
  </si>
  <si>
    <t>ORD-2025-757957</t>
  </si>
  <si>
    <t>ORD-2024-423853</t>
  </si>
  <si>
    <t>ORD-2024-569164</t>
  </si>
  <si>
    <t>ORD-2023-946143</t>
  </si>
  <si>
    <t>ORD-2024-281211</t>
  </si>
  <si>
    <t>ORD-2024-805860</t>
  </si>
  <si>
    <t>ORD-2025-132174</t>
  </si>
  <si>
    <t>ORD-2023-964434</t>
  </si>
  <si>
    <t>ORD-2024-897622</t>
  </si>
  <si>
    <t>ORD-2023-517216</t>
  </si>
  <si>
    <t>ORD-2025-509940</t>
  </si>
  <si>
    <t>ORD-2025-646342</t>
  </si>
  <si>
    <t>ORD-2024-866535</t>
  </si>
  <si>
    <t>ORD-2023-747341</t>
  </si>
  <si>
    <t>ORD-2024-853298</t>
  </si>
  <si>
    <t>ORD-2024-544865</t>
  </si>
  <si>
    <t>ORD-2025-946490</t>
  </si>
  <si>
    <t>ORD-2024-320972</t>
  </si>
  <si>
    <t>ORD-2025-248586</t>
  </si>
  <si>
    <t>ORD-2024-664046</t>
  </si>
  <si>
    <t>ORD-2023-276806</t>
  </si>
  <si>
    <t>ORD-2024-220234</t>
  </si>
  <si>
    <t>ORD-2024-301260</t>
  </si>
  <si>
    <t>ORD-2024-350100</t>
  </si>
  <si>
    <t>ORD-2024-855600</t>
  </si>
  <si>
    <t>ORD-2023-474313</t>
  </si>
  <si>
    <t>ORD-2023-256951</t>
  </si>
  <si>
    <t>ORD-2025-184754</t>
  </si>
  <si>
    <t>ORD-2023-888140</t>
  </si>
  <si>
    <t>ORD-2023-638181</t>
  </si>
  <si>
    <t>ORD-2023-521280</t>
  </si>
  <si>
    <t>ORD-2023-630430</t>
  </si>
  <si>
    <t>ORD-2025-908258</t>
  </si>
  <si>
    <t>ORD-2025-440093</t>
  </si>
  <si>
    <t>ORD-2025-898022</t>
  </si>
  <si>
    <t>ORD-2024-500511</t>
  </si>
  <si>
    <t>ORD-2023-632893</t>
  </si>
  <si>
    <t>ORD-2023-967239</t>
  </si>
  <si>
    <t>ORD-2024-885858</t>
  </si>
  <si>
    <t>ORD-2023-253245</t>
  </si>
  <si>
    <t>ORD-2025-484073</t>
  </si>
  <si>
    <t>ORD-2024-745822</t>
  </si>
  <si>
    <t>ORD-2023-369160</t>
  </si>
  <si>
    <t>ORD-2024-834983</t>
  </si>
  <si>
    <t>ORD-2024-499009</t>
  </si>
  <si>
    <t>ORD-2024-948800</t>
  </si>
  <si>
    <t>ORD-2025-678328</t>
  </si>
  <si>
    <t>ORD-2024-580808</t>
  </si>
  <si>
    <t>ORD-2023-211715</t>
  </si>
  <si>
    <t>ORD-2023-715175</t>
  </si>
  <si>
    <t>ORD-2025-685236</t>
  </si>
  <si>
    <t>ORD-2023-274037</t>
  </si>
  <si>
    <t>ORD-2025-983096</t>
  </si>
  <si>
    <t>ORD-2024-366010</t>
  </si>
  <si>
    <t>ORD-2023-610470</t>
  </si>
  <si>
    <t>ORD-2025-541048</t>
  </si>
  <si>
    <t>ORD-2024-862371</t>
  </si>
  <si>
    <t>ORD-2024-277241</t>
  </si>
  <si>
    <t>ORD-2023-369150</t>
  </si>
  <si>
    <t>ORD-2025-922513</t>
  </si>
  <si>
    <t>ORD-2025-752845</t>
  </si>
  <si>
    <t>ORD-2023-667815</t>
  </si>
  <si>
    <t>ORD-2023-375011</t>
  </si>
  <si>
    <t>ORD-2025-487025</t>
  </si>
  <si>
    <t>ORD-2025-398335</t>
  </si>
  <si>
    <t>ORD-2024-792137</t>
  </si>
  <si>
    <t>ORD-2023-602648</t>
  </si>
  <si>
    <t>ORD-2024-207096</t>
  </si>
  <si>
    <t>ORD-2025-939953</t>
  </si>
  <si>
    <t>ORD-2025-191328</t>
  </si>
  <si>
    <t>ORD-2023-166668</t>
  </si>
  <si>
    <t>ORD-2023-594700</t>
  </si>
  <si>
    <t>ORD-2025-278048</t>
  </si>
  <si>
    <t>ORD-2024-878493</t>
  </si>
  <si>
    <t>ORD-2025-138578</t>
  </si>
  <si>
    <t>ORD-2025-944081</t>
  </si>
  <si>
    <t>ORD-2025-364852</t>
  </si>
  <si>
    <t>ORD-2025-415018</t>
  </si>
  <si>
    <t>ORD-2023-884192</t>
  </si>
  <si>
    <t>ORD-2024-165942</t>
  </si>
  <si>
    <t>ORD-2024-403664</t>
  </si>
  <si>
    <t>ORD-2023-890605</t>
  </si>
  <si>
    <t>ORD-2024-925626</t>
  </si>
  <si>
    <t>ORD-2024-427031</t>
  </si>
  <si>
    <t>ORD-2025-231184</t>
  </si>
  <si>
    <t>ORD-2023-363031</t>
  </si>
  <si>
    <t>ORD-2023-619570</t>
  </si>
  <si>
    <t>ORD-2025-861401</t>
  </si>
  <si>
    <t>ORD-2023-835010</t>
  </si>
  <si>
    <t>ORD-2024-819979</t>
  </si>
  <si>
    <t>ORD-2024-719055</t>
  </si>
  <si>
    <t>ORD-2023-888245</t>
  </si>
  <si>
    <t>ORD-2024-206121</t>
  </si>
  <si>
    <t>ORD-2024-500890</t>
  </si>
  <si>
    <t>ORD-2023-144816</t>
  </si>
  <si>
    <t>ORD-2024-153053</t>
  </si>
  <si>
    <t>ORD-2023-536542</t>
  </si>
  <si>
    <t>ORD-2025-779530</t>
  </si>
  <si>
    <t>ORD-2023-163610</t>
  </si>
  <si>
    <t>ORD-2025-653781</t>
  </si>
  <si>
    <t>ORD-2025-737787</t>
  </si>
  <si>
    <t>ORD-2023-944052</t>
  </si>
  <si>
    <t>ORD-2023-181257</t>
  </si>
  <si>
    <t>ORD-2025-323492</t>
  </si>
  <si>
    <t>ORD-2024-332076</t>
  </si>
  <si>
    <t>ORD-2024-571797</t>
  </si>
  <si>
    <t>ORD-2024-129345</t>
  </si>
  <si>
    <t>ORD-2023-660608</t>
  </si>
  <si>
    <t>ORD-2023-825084</t>
  </si>
  <si>
    <t>ORD-2023-261081</t>
  </si>
  <si>
    <t>ORD-2023-766015</t>
  </si>
  <si>
    <t>ORD-2024-333192</t>
  </si>
  <si>
    <t>ORD-2024-647473</t>
  </si>
  <si>
    <t>ORD-2024-892908</t>
  </si>
  <si>
    <t>ORD-2023-573146</t>
  </si>
  <si>
    <t>ORD-2024-901115</t>
  </si>
  <si>
    <t>ORD-2023-898009</t>
  </si>
  <si>
    <t>ORD-2023-208944</t>
  </si>
  <si>
    <t>ORD-2025-480172</t>
  </si>
  <si>
    <t>ORD-2023-735274</t>
  </si>
  <si>
    <t>ORD-2023-212701</t>
  </si>
  <si>
    <t>ORD-2023-479747</t>
  </si>
  <si>
    <t>ORD-2024-915495</t>
  </si>
  <si>
    <t>ORD-2024-225829</t>
  </si>
  <si>
    <t>ORD-2024-921935</t>
  </si>
  <si>
    <t>ORD-2025-949776</t>
  </si>
  <si>
    <t>ORD-2024-510591</t>
  </si>
  <si>
    <t>ORD-2024-961756</t>
  </si>
  <si>
    <t>ORD-2024-892173</t>
  </si>
  <si>
    <t>ORD-2024-704056</t>
  </si>
  <si>
    <t>ORD-2025-591006</t>
  </si>
  <si>
    <t>ORD-2023-159821</t>
  </si>
  <si>
    <t>ORD-2024-343877</t>
  </si>
  <si>
    <t>ORD-2023-386663</t>
  </si>
  <si>
    <t>ORD-2025-125517</t>
  </si>
  <si>
    <t>ORD-2024-819778</t>
  </si>
  <si>
    <t>ORD-2025-624006</t>
  </si>
  <si>
    <t>ORD-2023-132101</t>
  </si>
  <si>
    <t>ORD-2025-306903</t>
  </si>
  <si>
    <t>ORD-2023-813340</t>
  </si>
  <si>
    <t>ORD-2023-855675</t>
  </si>
  <si>
    <t>ORD-2023-545150</t>
  </si>
  <si>
    <t>ORD-2025-269934</t>
  </si>
  <si>
    <t>ORD-2024-690270</t>
  </si>
  <si>
    <t>ORD-2024-868223</t>
  </si>
  <si>
    <t>ORD-2025-188059</t>
  </si>
  <si>
    <t>ORD-2023-281890</t>
  </si>
  <si>
    <t>ORD-2025-636162</t>
  </si>
  <si>
    <t>ORD-2025-915869</t>
  </si>
  <si>
    <t>ORD-2025-192876</t>
  </si>
  <si>
    <t>ORD-2025-822030</t>
  </si>
  <si>
    <t>ORD-2025-789245</t>
  </si>
  <si>
    <t>ORD-2023-594955</t>
  </si>
  <si>
    <t>ORD-2024-398783</t>
  </si>
  <si>
    <t>ORD-2023-676553</t>
  </si>
  <si>
    <t>ORD-2025-866565</t>
  </si>
  <si>
    <t>ORD-2024-527858</t>
  </si>
  <si>
    <t>ORD-2023-619385</t>
  </si>
  <si>
    <t>ORD-2023-835226</t>
  </si>
  <si>
    <t>ORD-2025-485946</t>
  </si>
  <si>
    <t>ORD-2024-307849</t>
  </si>
  <si>
    <t>ORD-2023-368449</t>
  </si>
  <si>
    <t>ORD-2024-251426</t>
  </si>
  <si>
    <t>ORD-2023-927385</t>
  </si>
  <si>
    <t>ORD-2025-486350</t>
  </si>
  <si>
    <t>ORD-2025-677880</t>
  </si>
  <si>
    <t>ORD-2024-102866</t>
  </si>
  <si>
    <t>ORD-2025-588029</t>
  </si>
  <si>
    <t>ORD-2024-972999</t>
  </si>
  <si>
    <t>ORD-2025-608069</t>
  </si>
  <si>
    <t>ORD-2024-626750</t>
  </si>
  <si>
    <t>ORD-2024-170021</t>
  </si>
  <si>
    <t>ORD-2024-678110</t>
  </si>
  <si>
    <t>ORD-2025-909340</t>
  </si>
  <si>
    <t>ORD-2023-854471</t>
  </si>
  <si>
    <t>ORD-2024-390951</t>
  </si>
  <si>
    <t>ORD-2025-881624</t>
  </si>
  <si>
    <t>ORD-2025-512310</t>
  </si>
  <si>
    <t>ORD-2023-674887</t>
  </si>
  <si>
    <t>ORD-2024-542244</t>
  </si>
  <si>
    <t>ORD-2024-375848</t>
  </si>
  <si>
    <t>ORD-2023-933238</t>
  </si>
  <si>
    <t>ORD-2023-732585</t>
  </si>
  <si>
    <t>ORD-2024-465898</t>
  </si>
  <si>
    <t>ORD-2023-987081</t>
  </si>
  <si>
    <t>ORD-2024-655710</t>
  </si>
  <si>
    <t>ORD-2025-411385</t>
  </si>
  <si>
    <t>ORD-2025-222035</t>
  </si>
  <si>
    <t>ORD-2024-749242</t>
  </si>
  <si>
    <t>ORD-2023-623293</t>
  </si>
  <si>
    <t>ORD-2025-276968</t>
  </si>
  <si>
    <t>ORD-2025-650841</t>
  </si>
  <si>
    <t>ORD-2025-831576</t>
  </si>
  <si>
    <t>ORD-2024-468655</t>
  </si>
  <si>
    <t>ORD-2024-515105</t>
  </si>
  <si>
    <t>ORD-2025-803803</t>
  </si>
  <si>
    <t>ORD-2024-993481</t>
  </si>
  <si>
    <t>ORD-2024-811752</t>
  </si>
  <si>
    <t>ORD-2025-673091</t>
  </si>
  <si>
    <t>ORD-2024-381197</t>
  </si>
  <si>
    <t>ORD-2024-651852</t>
  </si>
  <si>
    <t>ORD-2023-659070</t>
  </si>
  <si>
    <t>ORD-2024-837651</t>
  </si>
  <si>
    <t>ORD-2024-581530</t>
  </si>
  <si>
    <t>ORD-2023-378104</t>
  </si>
  <si>
    <t>ORD-2024-972318</t>
  </si>
  <si>
    <t>ORD-2023-752962</t>
  </si>
  <si>
    <t>ORD-2023-808024</t>
  </si>
  <si>
    <t>ORD-2023-156396</t>
  </si>
  <si>
    <t>ORD-2023-184577</t>
  </si>
  <si>
    <t>ORD-2024-446030</t>
  </si>
  <si>
    <t>ORD-2023-842820</t>
  </si>
  <si>
    <t>ORD-2024-745424</t>
  </si>
  <si>
    <t>ORD-2024-510520</t>
  </si>
  <si>
    <t>ORD-2023-769774</t>
  </si>
  <si>
    <t>ORD-2023-580751</t>
  </si>
  <si>
    <t>ORD-2025-473192</t>
  </si>
  <si>
    <t>ORD-2024-886939</t>
  </si>
  <si>
    <t>ORD-2024-566589</t>
  </si>
  <si>
    <t>ORD-2023-109927</t>
  </si>
  <si>
    <t>ORD-2023-780206</t>
  </si>
  <si>
    <t>ORD-2024-851993</t>
  </si>
  <si>
    <t>ORD-2025-417942</t>
  </si>
  <si>
    <t>ORD-2023-172095</t>
  </si>
  <si>
    <t>ORD-2024-257550</t>
  </si>
  <si>
    <t>ORD-2023-581799</t>
  </si>
  <si>
    <t>ORD-2023-880296</t>
  </si>
  <si>
    <t>ORD-2023-191563</t>
  </si>
  <si>
    <t>ORD-2024-202166</t>
  </si>
  <si>
    <t>ORD-2023-539967</t>
  </si>
  <si>
    <t>ORD-2023-704111</t>
  </si>
  <si>
    <t>ORD-2024-356812</t>
  </si>
  <si>
    <t>ORD-2025-306251</t>
  </si>
  <si>
    <t>ORD-2025-496178</t>
  </si>
  <si>
    <t>ORD-2024-508213</t>
  </si>
  <si>
    <t>ORD-2024-787018</t>
  </si>
  <si>
    <t>ORD-2023-728177</t>
  </si>
  <si>
    <t>ORD-2025-795385</t>
  </si>
  <si>
    <t>ORD-2025-947929</t>
  </si>
  <si>
    <t>ORD-2023-931633</t>
  </si>
  <si>
    <t>ORD-2023-243704</t>
  </si>
  <si>
    <t>ORD-2025-779659</t>
  </si>
  <si>
    <t>ORD-2024-647571</t>
  </si>
  <si>
    <t>ORD-2025-683043</t>
  </si>
  <si>
    <t>ORD-2023-588455</t>
  </si>
  <si>
    <t>ORD-2024-641220</t>
  </si>
  <si>
    <t>ORD-2023-799597</t>
  </si>
  <si>
    <t>ORD-2023-569862</t>
  </si>
  <si>
    <t>ORD-2023-609394</t>
  </si>
  <si>
    <t>ORD-2024-105586</t>
  </si>
  <si>
    <t>ORD-2024-207792</t>
  </si>
  <si>
    <t>ORD-2025-417336</t>
  </si>
  <si>
    <t>ORD-2025-252117</t>
  </si>
  <si>
    <t>ORD-2023-867175</t>
  </si>
  <si>
    <t>ORD-2024-382152</t>
  </si>
  <si>
    <t>ORD-2023-597666</t>
  </si>
  <si>
    <t>ORD-2024-371409</t>
  </si>
  <si>
    <t>ORD-2024-973420</t>
  </si>
  <si>
    <t>ORD-2025-254721</t>
  </si>
  <si>
    <t>ORD-2024-247032</t>
  </si>
  <si>
    <t>ORD-2024-792353</t>
  </si>
  <si>
    <t>ORD-2025-703623</t>
  </si>
  <si>
    <t>ORD-2024-516704</t>
  </si>
  <si>
    <t>ORD-2024-578646</t>
  </si>
  <si>
    <t>ORD-2024-433936</t>
  </si>
  <si>
    <t>ORD-2023-434071</t>
  </si>
  <si>
    <t>ORD-2024-728474</t>
  </si>
  <si>
    <t>ORD-2023-406606</t>
  </si>
  <si>
    <t>ORD-2025-823055</t>
  </si>
  <si>
    <t>ORD-2023-573656</t>
  </si>
  <si>
    <t>ORD-2024-567435</t>
  </si>
  <si>
    <t>ORD-2023-744942</t>
  </si>
  <si>
    <t>ORD-2025-331237</t>
  </si>
  <si>
    <t>ORD-2025-680118</t>
  </si>
  <si>
    <t>ORD-2024-310809</t>
  </si>
  <si>
    <t>ORD-2025-474368</t>
  </si>
  <si>
    <t>ORD-2024-732543</t>
  </si>
  <si>
    <t>ORD-2023-867166</t>
  </si>
  <si>
    <t>ORD-2024-776337</t>
  </si>
  <si>
    <t>ORD-2023-913592</t>
  </si>
  <si>
    <t>ORD-2024-961501</t>
  </si>
  <si>
    <t>ORD-2024-964950</t>
  </si>
  <si>
    <t>ORD-2023-349264</t>
  </si>
  <si>
    <t>ORD-2025-137394</t>
  </si>
  <si>
    <t>ORD-2025-635337</t>
  </si>
  <si>
    <t>ORD-2023-568013</t>
  </si>
  <si>
    <t>ORD-2025-828263</t>
  </si>
  <si>
    <t>ORD-2024-402240</t>
  </si>
  <si>
    <t>ORD-2023-125739</t>
  </si>
  <si>
    <t>ORD-2024-892879</t>
  </si>
  <si>
    <t>ORD-2023-472050</t>
  </si>
  <si>
    <t>ORD-2024-468615</t>
  </si>
  <si>
    <t>ORD-2024-833375</t>
  </si>
  <si>
    <t>ORD-2024-206311</t>
  </si>
  <si>
    <t>ORD-2024-364080</t>
  </si>
  <si>
    <t>ORD-2025-460466</t>
  </si>
  <si>
    <t>ORD-2023-700699</t>
  </si>
  <si>
    <t>ORD-2024-713332</t>
  </si>
  <si>
    <t>ORD-2023-640022</t>
  </si>
  <si>
    <t>ORD-2024-532184</t>
  </si>
  <si>
    <t>ORD-2025-926547</t>
  </si>
  <si>
    <t>ORD-2025-778145</t>
  </si>
  <si>
    <t>ORD-2023-525643</t>
  </si>
  <si>
    <t>ORD-2025-312803</t>
  </si>
  <si>
    <t>ORD-2025-149156</t>
  </si>
  <si>
    <t>ORD-2023-215819</t>
  </si>
  <si>
    <t>ORD-2024-353078</t>
  </si>
  <si>
    <t>ORD-2023-621393</t>
  </si>
  <si>
    <t>ORD-2023-974506</t>
  </si>
  <si>
    <t>ORD-2023-811823</t>
  </si>
  <si>
    <t>ORD-2023-286720</t>
  </si>
  <si>
    <t>ORD-2024-626925</t>
  </si>
  <si>
    <t>ORD-2023-960380</t>
  </si>
  <si>
    <t>ORD-2023-453699</t>
  </si>
  <si>
    <t>ORD-2025-960931</t>
  </si>
  <si>
    <t>ORD-2024-419248</t>
  </si>
  <si>
    <t>ORD-2023-488227</t>
  </si>
  <si>
    <t>ORD-2023-472078</t>
  </si>
  <si>
    <t>ORD-2024-202877</t>
  </si>
  <si>
    <t>ORD-2024-140633</t>
  </si>
  <si>
    <t>ORD-2025-419532</t>
  </si>
  <si>
    <t>ORD-2023-139236</t>
  </si>
  <si>
    <t>ORD-2025-337268</t>
  </si>
  <si>
    <t>ORD-2025-332931</t>
  </si>
  <si>
    <t>ORD-2024-536442</t>
  </si>
  <si>
    <t>ORD-2023-957692</t>
  </si>
  <si>
    <t>ORD-2025-874124</t>
  </si>
  <si>
    <t>ORD-2024-687073</t>
  </si>
  <si>
    <t>ORD-2024-555229</t>
  </si>
  <si>
    <t>ORD-2024-872291</t>
  </si>
  <si>
    <t>ORD-2024-250862</t>
  </si>
  <si>
    <t>ORD-2024-331226</t>
  </si>
  <si>
    <t>ORD-2023-356427</t>
  </si>
  <si>
    <t>ORD-2025-659650</t>
  </si>
  <si>
    <t>ORD-2024-207669</t>
  </si>
  <si>
    <t>ORD-2024-979401</t>
  </si>
  <si>
    <t>ORD-2025-929414</t>
  </si>
  <si>
    <t>ORD-2024-766980</t>
  </si>
  <si>
    <t>ORD-2024-437164</t>
  </si>
  <si>
    <t>ORD-2025-169093</t>
  </si>
  <si>
    <t>ORD-2023-868460</t>
  </si>
  <si>
    <t>ORD-2025-177994</t>
  </si>
  <si>
    <t>ORD-2024-355095</t>
  </si>
  <si>
    <t>ORD-2023-126505</t>
  </si>
  <si>
    <t>ORD-2023-340056</t>
  </si>
  <si>
    <t>ORD-2025-281413</t>
  </si>
  <si>
    <t>ORD-2023-713614</t>
  </si>
  <si>
    <t>ORD-2023-173313</t>
  </si>
  <si>
    <t>ORD-2024-496601</t>
  </si>
  <si>
    <t>ORD-2025-155182</t>
  </si>
  <si>
    <t>ORD-2023-244375</t>
  </si>
  <si>
    <t>ORD-2023-856322</t>
  </si>
  <si>
    <t>ORD-2024-594527</t>
  </si>
  <si>
    <t>ORD-2024-689872</t>
  </si>
  <si>
    <t>ORD-2025-246692</t>
  </si>
  <si>
    <t>ORD-2023-378676</t>
  </si>
  <si>
    <t>ORD-2024-243988</t>
  </si>
  <si>
    <t>ORD-2024-572312</t>
  </si>
  <si>
    <t>ORD-2025-281062</t>
  </si>
  <si>
    <t>ORD-2023-727290</t>
  </si>
  <si>
    <t>ORD-2025-993993</t>
  </si>
  <si>
    <t>ORD-2023-619493</t>
  </si>
  <si>
    <t>ORD-2024-947056</t>
  </si>
  <si>
    <t>ORD-2025-856556</t>
  </si>
  <si>
    <t>ORD-2024-442776</t>
  </si>
  <si>
    <t>ORD-2025-705398</t>
  </si>
  <si>
    <t>ORD-2023-689428</t>
  </si>
  <si>
    <t>ORD-2025-683247</t>
  </si>
  <si>
    <t>ORD-2024-585443</t>
  </si>
  <si>
    <t>ORD-2024-907733</t>
  </si>
  <si>
    <t>ORD-2024-550400</t>
  </si>
  <si>
    <t>ORD-2025-189846</t>
  </si>
  <si>
    <t>ORD-2025-752192</t>
  </si>
  <si>
    <t>ORD-2023-294716</t>
  </si>
  <si>
    <t>ORD-2023-552115</t>
  </si>
  <si>
    <t>ORD-2023-107265</t>
  </si>
  <si>
    <t>ORD-2025-262434</t>
  </si>
  <si>
    <t>ORD-2024-266562</t>
  </si>
  <si>
    <t>ORD-2024-838925</t>
  </si>
  <si>
    <t>ORD-2023-664790</t>
  </si>
  <si>
    <t>ORD-2024-331408</t>
  </si>
  <si>
    <t>ORD-2024-741404</t>
  </si>
  <si>
    <t>ORD-2024-341535</t>
  </si>
  <si>
    <t>ORD-2023-451931</t>
  </si>
  <si>
    <t>ORD-2025-532859</t>
  </si>
  <si>
    <t>ORD-2023-502205</t>
  </si>
  <si>
    <t>ORD-2024-930679</t>
  </si>
  <si>
    <t>ORD-2025-150713</t>
  </si>
  <si>
    <t>ORD-2024-756884</t>
  </si>
  <si>
    <t>ORD-2023-755337</t>
  </si>
  <si>
    <t>ORD-2025-907040</t>
  </si>
  <si>
    <t>ORD-2024-817997</t>
  </si>
  <si>
    <t>ORD-2025-649633</t>
  </si>
  <si>
    <t>ORD-2023-885216</t>
  </si>
  <si>
    <t>ORD-2023-561823</t>
  </si>
  <si>
    <t>ORD-2023-249805</t>
  </si>
  <si>
    <t>ORD-2023-548934</t>
  </si>
  <si>
    <t>ORD-2023-921939</t>
  </si>
  <si>
    <t>ORD-2023-961864</t>
  </si>
  <si>
    <t>ORD-2023-455933</t>
  </si>
  <si>
    <t>ORD-2025-728935</t>
  </si>
  <si>
    <t>Africa</t>
  </si>
  <si>
    <t>Asia</t>
  </si>
  <si>
    <t>Americas</t>
  </si>
  <si>
    <t>Europe</t>
  </si>
  <si>
    <t>Kenya</t>
  </si>
  <si>
    <t>Nigeria</t>
  </si>
  <si>
    <t>Japan</t>
  </si>
  <si>
    <t>Canada</t>
  </si>
  <si>
    <t>India</t>
  </si>
  <si>
    <t>Brazil</t>
  </si>
  <si>
    <t>Germany</t>
  </si>
  <si>
    <t>France</t>
  </si>
  <si>
    <t>United Kingdom</t>
  </si>
  <si>
    <t>China</t>
  </si>
  <si>
    <t>USA</t>
  </si>
  <si>
    <t>South Africa</t>
  </si>
  <si>
    <t>Kisumu</t>
  </si>
  <si>
    <t>Port Harcourt</t>
  </si>
  <si>
    <t>Nairobi</t>
  </si>
  <si>
    <t>Lagos</t>
  </si>
  <si>
    <t>Osaka</t>
  </si>
  <si>
    <t>Toronto</t>
  </si>
  <si>
    <t>Bengaluru</t>
  </si>
  <si>
    <t>Abuja</t>
  </si>
  <si>
    <t>São Paulo</t>
  </si>
  <si>
    <t>Berlin</t>
  </si>
  <si>
    <t>Brasília</t>
  </si>
  <si>
    <t>Marseille</t>
  </si>
  <si>
    <t>Birmingham</t>
  </si>
  <si>
    <t>Mombasa</t>
  </si>
  <si>
    <t>Shenzhen</t>
  </si>
  <si>
    <t>Chicago</t>
  </si>
  <si>
    <t>Nakuru</t>
  </si>
  <si>
    <t>Lyon</t>
  </si>
  <si>
    <t>Delhi</t>
  </si>
  <si>
    <t>Montreal</t>
  </si>
  <si>
    <t>Johannesburg</t>
  </si>
  <si>
    <t>London</t>
  </si>
  <si>
    <t>Munich</t>
  </si>
  <si>
    <t>Shanghai</t>
  </si>
  <si>
    <t>San Francisco</t>
  </si>
  <si>
    <t>Durban</t>
  </si>
  <si>
    <t>Vancouver</t>
  </si>
  <si>
    <t>Tokyo</t>
  </si>
  <si>
    <t>Paris</t>
  </si>
  <si>
    <t>Mumbai</t>
  </si>
  <si>
    <t>Rio de Janeiro</t>
  </si>
  <si>
    <t>Manchester</t>
  </si>
  <si>
    <t>Nagoya</t>
  </si>
  <si>
    <t>Cape Town</t>
  </si>
  <si>
    <t>Hyderabad</t>
  </si>
  <si>
    <t>Austin</t>
  </si>
  <si>
    <t>Frankfurt</t>
  </si>
  <si>
    <t>Beijing</t>
  </si>
  <si>
    <t>New York</t>
  </si>
  <si>
    <t>Corporate</t>
  </si>
  <si>
    <t>Education</t>
  </si>
  <si>
    <t>Non-Profit</t>
  </si>
  <si>
    <t>Consumer</t>
  </si>
  <si>
    <t>Small Business</t>
  </si>
  <si>
    <t>Enterprise</t>
  </si>
  <si>
    <t>Retail</t>
  </si>
  <si>
    <t>Online</t>
  </si>
  <si>
    <t>Marketplace</t>
  </si>
  <si>
    <t>Distributor</t>
  </si>
  <si>
    <t>Direct</t>
  </si>
  <si>
    <t>C. Otieno</t>
  </si>
  <si>
    <t>J. Njeri</t>
  </si>
  <si>
    <t>I. Johnson</t>
  </si>
  <si>
    <t>G. Dubois</t>
  </si>
  <si>
    <t>L. Okafor</t>
  </si>
  <si>
    <t>B. Chen</t>
  </si>
  <si>
    <t>E. Garcia</t>
  </si>
  <si>
    <t>O. Wang</t>
  </si>
  <si>
    <t>A. Patel</t>
  </si>
  <si>
    <t>F. Müller</t>
  </si>
  <si>
    <t>H. Kim</t>
  </si>
  <si>
    <t>K. Singh</t>
  </si>
  <si>
    <t>M. Rossi</t>
  </si>
  <si>
    <t>N. Brown</t>
  </si>
  <si>
    <t>D. Smith</t>
  </si>
  <si>
    <t>Components</t>
  </si>
  <si>
    <t>Printers</t>
  </si>
  <si>
    <t>Networking</t>
  </si>
  <si>
    <t>Phones</t>
  </si>
  <si>
    <t>Laptops</t>
  </si>
  <si>
    <t>Monitors</t>
  </si>
  <si>
    <t>Accessories</t>
  </si>
  <si>
    <t>CMP-8270</t>
  </si>
  <si>
    <t>PRN-9322</t>
  </si>
  <si>
    <t>NET-9666</t>
  </si>
  <si>
    <t>PHN-4556</t>
  </si>
  <si>
    <t>PRN-8041</t>
  </si>
  <si>
    <t>LAP-8555</t>
  </si>
  <si>
    <t>MON-8629</t>
  </si>
  <si>
    <t>PRN-6276</t>
  </si>
  <si>
    <t>MON-6892</t>
  </si>
  <si>
    <t>CMP-3731</t>
  </si>
  <si>
    <t>ACC-7938</t>
  </si>
  <si>
    <t>PHN-7019</t>
  </si>
  <si>
    <t>CMP-3693</t>
  </si>
  <si>
    <t>PRN-8392</t>
  </si>
  <si>
    <t>ACC-1663</t>
  </si>
  <si>
    <t>LAP-1698</t>
  </si>
  <si>
    <t>PRN-6791</t>
  </si>
  <si>
    <t>PHN-1197</t>
  </si>
  <si>
    <t>ACC-8098</t>
  </si>
  <si>
    <t>LAP-3385</t>
  </si>
  <si>
    <t>LAP-9815</t>
  </si>
  <si>
    <t>NET-3255</t>
  </si>
  <si>
    <t>ACC-3961</t>
  </si>
  <si>
    <t>LAP-4987</t>
  </si>
  <si>
    <t>CMP-2693</t>
  </si>
  <si>
    <t>ACC-8683</t>
  </si>
  <si>
    <t>PRN-4170</t>
  </si>
  <si>
    <t>PHN-6854</t>
  </si>
  <si>
    <t>PHN-1784</t>
  </si>
  <si>
    <t>NET-9716</t>
  </si>
  <si>
    <t>CMP-6919</t>
  </si>
  <si>
    <t>PHN-4854</t>
  </si>
  <si>
    <t>NET-7966</t>
  </si>
  <si>
    <t>LAP-9932</t>
  </si>
  <si>
    <t>CMP-1559</t>
  </si>
  <si>
    <t>PRN-4506</t>
  </si>
  <si>
    <t>CMP-7617</t>
  </si>
  <si>
    <t>CMP-8390</t>
  </si>
  <si>
    <t>PRN-7303</t>
  </si>
  <si>
    <t>PRN-6536</t>
  </si>
  <si>
    <t>MON-9967</t>
  </si>
  <si>
    <t>NET-1412</t>
  </si>
  <si>
    <t>PRN-3143</t>
  </si>
  <si>
    <t>PRN-9787</t>
  </si>
  <si>
    <t>CMP-5946</t>
  </si>
  <si>
    <t>NET-2062</t>
  </si>
  <si>
    <t>PRN-2542</t>
  </si>
  <si>
    <t>NET-2365</t>
  </si>
  <si>
    <t>NET-5268</t>
  </si>
  <si>
    <t>PRN-1504</t>
  </si>
  <si>
    <t>ACC-6348</t>
  </si>
  <si>
    <t>MON-4330</t>
  </si>
  <si>
    <t>LAP-7819</t>
  </si>
  <si>
    <t>LAP-3779</t>
  </si>
  <si>
    <t>NET-9989</t>
  </si>
  <si>
    <t>MON-4925</t>
  </si>
  <si>
    <t>LAP-6989</t>
  </si>
  <si>
    <t>ACC-5780</t>
  </si>
  <si>
    <t>ACC-1770</t>
  </si>
  <si>
    <t>ACC-2252</t>
  </si>
  <si>
    <t>CMP-8002</t>
  </si>
  <si>
    <t>CMP-6971</t>
  </si>
  <si>
    <t>PHN-8350</t>
  </si>
  <si>
    <t>MON-5188</t>
  </si>
  <si>
    <t>LAP-3393</t>
  </si>
  <si>
    <t>PHN-4644</t>
  </si>
  <si>
    <t>ACC-9150</t>
  </si>
  <si>
    <t>MON-6870</t>
  </si>
  <si>
    <t>MON-2296</t>
  </si>
  <si>
    <t>CMP-7371</t>
  </si>
  <si>
    <t>ACC-2761</t>
  </si>
  <si>
    <t>LAP-4517</t>
  </si>
  <si>
    <t>LAP-8489</t>
  </si>
  <si>
    <t>NET-1846</t>
  </si>
  <si>
    <t>CMP-5208</t>
  </si>
  <si>
    <t>CMP-1009</t>
  </si>
  <si>
    <t>ACC-4490</t>
  </si>
  <si>
    <t>ACC-9162</t>
  </si>
  <si>
    <t>CMP-5820</t>
  </si>
  <si>
    <t>MON-7943</t>
  </si>
  <si>
    <t>NET-5018</t>
  </si>
  <si>
    <t>PRN-9669</t>
  </si>
  <si>
    <t>CMP-2865</t>
  </si>
  <si>
    <t>MON-3371</t>
  </si>
  <si>
    <t>NET-7166</t>
  </si>
  <si>
    <t>CMP-4531</t>
  </si>
  <si>
    <t>CMP-8196</t>
  </si>
  <si>
    <t>CMP-2854</t>
  </si>
  <si>
    <t>MON-8973</t>
  </si>
  <si>
    <t>MON-2990</t>
  </si>
  <si>
    <t>NET-1966</t>
  </si>
  <si>
    <t>PHN-3482</t>
  </si>
  <si>
    <t>PRN-6490</t>
  </si>
  <si>
    <t>ACC-9038</t>
  </si>
  <si>
    <t>PHN-6954</t>
  </si>
  <si>
    <t>PRN-8970</t>
  </si>
  <si>
    <t>MON-1822</t>
  </si>
  <si>
    <t>ACC-5177</t>
  </si>
  <si>
    <t>NET-1804</t>
  </si>
  <si>
    <t>LAP-3679</t>
  </si>
  <si>
    <t>PHN-8368</t>
  </si>
  <si>
    <t>CMP-8141</t>
  </si>
  <si>
    <t>LAP-7136</t>
  </si>
  <si>
    <t>ACC-2386</t>
  </si>
  <si>
    <t>LAP-5150</t>
  </si>
  <si>
    <t>CMP-8101</t>
  </si>
  <si>
    <t>PHN-8970</t>
  </si>
  <si>
    <t>PHN-2341</t>
  </si>
  <si>
    <t>NET-6387</t>
  </si>
  <si>
    <t>ACC-9820</t>
  </si>
  <si>
    <t>CMP-6392</t>
  </si>
  <si>
    <t>LAP-9230</t>
  </si>
  <si>
    <t>NET-4241</t>
  </si>
  <si>
    <t>ACC-4511</t>
  </si>
  <si>
    <t>NET-3033</t>
  </si>
  <si>
    <t>MON-2828</t>
  </si>
  <si>
    <t>PRN-6429</t>
  </si>
  <si>
    <t>LAP-8214</t>
  </si>
  <si>
    <t>MON-9194</t>
  </si>
  <si>
    <t>LAP-2218</t>
  </si>
  <si>
    <t>NET-6370</t>
  </si>
  <si>
    <t>MON-3745</t>
  </si>
  <si>
    <t>PHN-7924</t>
  </si>
  <si>
    <t>NET-8561</t>
  </si>
  <si>
    <t>CMP-2136</t>
  </si>
  <si>
    <t>CMP-6352</t>
  </si>
  <si>
    <t>CMP-2040</t>
  </si>
  <si>
    <t>CMP-6346</t>
  </si>
  <si>
    <t>PHN-4356</t>
  </si>
  <si>
    <t>NET-4155</t>
  </si>
  <si>
    <t>MON-5179</t>
  </si>
  <si>
    <t>ACC-4056</t>
  </si>
  <si>
    <t>LAP-9782</t>
  </si>
  <si>
    <t>PHN-2875</t>
  </si>
  <si>
    <t>PRN-4788</t>
  </si>
  <si>
    <t>MON-3043</t>
  </si>
  <si>
    <t>CMP-3720</t>
  </si>
  <si>
    <t>PHN-8014</t>
  </si>
  <si>
    <t>PRN-4911</t>
  </si>
  <si>
    <t>ACC-1021</t>
  </si>
  <si>
    <t>MON-2266</t>
  </si>
  <si>
    <t>PHN-8057</t>
  </si>
  <si>
    <t>ACC-7078</t>
  </si>
  <si>
    <t>PRN-4453</t>
  </si>
  <si>
    <t>NET-2394</t>
  </si>
  <si>
    <t>LAP-1525</t>
  </si>
  <si>
    <t>LAP-3278</t>
  </si>
  <si>
    <t>ACC-6543</t>
  </si>
  <si>
    <t>PRN-4432</t>
  </si>
  <si>
    <t>PHN-4568</t>
  </si>
  <si>
    <t>PRN-6178</t>
  </si>
  <si>
    <t>LAP-6342</t>
  </si>
  <si>
    <t>PRN-8175</t>
  </si>
  <si>
    <t>PRN-7089</t>
  </si>
  <si>
    <t>ACC-4124</t>
  </si>
  <si>
    <t>NET-7924</t>
  </si>
  <si>
    <t>NET-8761</t>
  </si>
  <si>
    <t>CMP-3875</t>
  </si>
  <si>
    <t>ACC-3989</t>
  </si>
  <si>
    <t>PHN-9234</t>
  </si>
  <si>
    <t>MON-9906</t>
  </si>
  <si>
    <t>CMP-4610</t>
  </si>
  <si>
    <t>PHN-5445</t>
  </si>
  <si>
    <t>MON-9227</t>
  </si>
  <si>
    <t>PRN-4097</t>
  </si>
  <si>
    <t>MON-6699</t>
  </si>
  <si>
    <t>LAP-1482</t>
  </si>
  <si>
    <t>MON-2100</t>
  </si>
  <si>
    <t>MON-7602</t>
  </si>
  <si>
    <t>CMP-1072</t>
  </si>
  <si>
    <t>ACC-2735</t>
  </si>
  <si>
    <t>CMP-5211</t>
  </si>
  <si>
    <t>CMP-1632</t>
  </si>
  <si>
    <t>LAP-7099</t>
  </si>
  <si>
    <t>PRN-3785</t>
  </si>
  <si>
    <t>MON-6962</t>
  </si>
  <si>
    <t>PRN-5107</t>
  </si>
  <si>
    <t>CMP-9264</t>
  </si>
  <si>
    <t>MON-5259</t>
  </si>
  <si>
    <t>PRN-8137</t>
  </si>
  <si>
    <t>ACC-6777</t>
  </si>
  <si>
    <t>PHN-7488</t>
  </si>
  <si>
    <t>ACC-9591</t>
  </si>
  <si>
    <t>MON-5517</t>
  </si>
  <si>
    <t>MON-8758</t>
  </si>
  <si>
    <t>ACC-3385</t>
  </si>
  <si>
    <t>MON-1593</t>
  </si>
  <si>
    <t>ACC-4631</t>
  </si>
  <si>
    <t>MON-7869</t>
  </si>
  <si>
    <t>MON-4271</t>
  </si>
  <si>
    <t>LAP-5531</t>
  </si>
  <si>
    <t>MON-7511</t>
  </si>
  <si>
    <t>LAP-7979</t>
  </si>
  <si>
    <t>PRN-4983</t>
  </si>
  <si>
    <t>NET-5941</t>
  </si>
  <si>
    <t>MON-6341</t>
  </si>
  <si>
    <t>PHN-9789</t>
  </si>
  <si>
    <t>PHN-5082</t>
  </si>
  <si>
    <t>NET-3460</t>
  </si>
  <si>
    <t>PRN-7019</t>
  </si>
  <si>
    <t>PHN-3159</t>
  </si>
  <si>
    <t>PRN-8604</t>
  </si>
  <si>
    <t>PHN-2013</t>
  </si>
  <si>
    <t>NET-6036</t>
  </si>
  <si>
    <t>MON-4959</t>
  </si>
  <si>
    <t>MON-1663</t>
  </si>
  <si>
    <t>CMP-7256</t>
  </si>
  <si>
    <t>ACC-1659</t>
  </si>
  <si>
    <t>PRN-6068</t>
  </si>
  <si>
    <t>ACC-8999</t>
  </si>
  <si>
    <t>CMP-3978</t>
  </si>
  <si>
    <t>MON-7868</t>
  </si>
  <si>
    <t>PRN-3014</t>
  </si>
  <si>
    <t>PHN-1671</t>
  </si>
  <si>
    <t>ACC-5260</t>
  </si>
  <si>
    <t>NET-7588</t>
  </si>
  <si>
    <t>MON-1572</t>
  </si>
  <si>
    <t>MON-2537</t>
  </si>
  <si>
    <t>PRN-5666</t>
  </si>
  <si>
    <t>PRN-2749</t>
  </si>
  <si>
    <t>CMP-4970</t>
  </si>
  <si>
    <t>ACC-3551</t>
  </si>
  <si>
    <t>CMP-7063</t>
  </si>
  <si>
    <t>NET-1612</t>
  </si>
  <si>
    <t>LAP-9766</t>
  </si>
  <si>
    <t>PHN-7274</t>
  </si>
  <si>
    <t>NET-1645</t>
  </si>
  <si>
    <t>ACC-5079</t>
  </si>
  <si>
    <t>PRN-2098</t>
  </si>
  <si>
    <t>PRN-7049</t>
  </si>
  <si>
    <t>CMP-6925</t>
  </si>
  <si>
    <t>PHN-2787</t>
  </si>
  <si>
    <t>PRN-1141</t>
  </si>
  <si>
    <t>MON-5249</t>
  </si>
  <si>
    <t>CMP-8230</t>
  </si>
  <si>
    <t>PRN-7816</t>
  </si>
  <si>
    <t>PHN-8804</t>
  </si>
  <si>
    <t>CMP-8851</t>
  </si>
  <si>
    <t>PHN-2447</t>
  </si>
  <si>
    <t>LAP-2846</t>
  </si>
  <si>
    <t>PRN-5005</t>
  </si>
  <si>
    <t>PHN-3800</t>
  </si>
  <si>
    <t>LAP-4828</t>
  </si>
  <si>
    <t>PRN-5492</t>
  </si>
  <si>
    <t>PHN-7132</t>
  </si>
  <si>
    <t>PHN-4741</t>
  </si>
  <si>
    <t>LAP-2774</t>
  </si>
  <si>
    <t>MON-2842</t>
  </si>
  <si>
    <t>NET-2628</t>
  </si>
  <si>
    <t>MON-2998</t>
  </si>
  <si>
    <t>CMP-7563</t>
  </si>
  <si>
    <t>LAP-6160</t>
  </si>
  <si>
    <t>MON-4361</t>
  </si>
  <si>
    <t>PRN-2829</t>
  </si>
  <si>
    <t>MON-8939</t>
  </si>
  <si>
    <t>LAP-5009</t>
  </si>
  <si>
    <t>CMP-4807</t>
  </si>
  <si>
    <t>NET-2439</t>
  </si>
  <si>
    <t>MON-7626</t>
  </si>
  <si>
    <t>ACC-3567</t>
  </si>
  <si>
    <t>CMP-4630</t>
  </si>
  <si>
    <t>ACC-1882</t>
  </si>
  <si>
    <t>NET-9125</t>
  </si>
  <si>
    <t>PHN-3819</t>
  </si>
  <si>
    <t>LAP-3490</t>
  </si>
  <si>
    <t>PRN-1276</t>
  </si>
  <si>
    <t>MON-9733</t>
  </si>
  <si>
    <t>CMP-9392</t>
  </si>
  <si>
    <t>PHN-3014</t>
  </si>
  <si>
    <t>PRN-6776</t>
  </si>
  <si>
    <t>ACC-3951</t>
  </si>
  <si>
    <t>MON-1436</t>
  </si>
  <si>
    <t>MON-8651</t>
  </si>
  <si>
    <t>MON-3307</t>
  </si>
  <si>
    <t>PRN-8758</t>
  </si>
  <si>
    <t>LAP-7056</t>
  </si>
  <si>
    <t>NET-5523</t>
  </si>
  <si>
    <t>ACC-8094</t>
  </si>
  <si>
    <t>PHN-6832</t>
  </si>
  <si>
    <t>LAP-2378</t>
  </si>
  <si>
    <t>MON-5424</t>
  </si>
  <si>
    <t>NET-8430</t>
  </si>
  <si>
    <t>PHN-1234</t>
  </si>
  <si>
    <t>LAP-9016</t>
  </si>
  <si>
    <t>LAP-9931</t>
  </si>
  <si>
    <t>PHN-6818</t>
  </si>
  <si>
    <t>PHN-3803</t>
  </si>
  <si>
    <t>NET-9835</t>
  </si>
  <si>
    <t>ACC-6223</t>
  </si>
  <si>
    <t>CMP-8659</t>
  </si>
  <si>
    <t>ACC-4483</t>
  </si>
  <si>
    <t>PRN-8763</t>
  </si>
  <si>
    <t>ACC-8557</t>
  </si>
  <si>
    <t>ACC-1492</t>
  </si>
  <si>
    <t>CMP-3743</t>
  </si>
  <si>
    <t>LAP-1619</t>
  </si>
  <si>
    <t>PRN-7976</t>
  </si>
  <si>
    <t>MON-4326</t>
  </si>
  <si>
    <t>MON-5444</t>
  </si>
  <si>
    <t>ACC-5422</t>
  </si>
  <si>
    <t>CMP-9307</t>
  </si>
  <si>
    <t>PRN-6520</t>
  </si>
  <si>
    <t>NET-1699</t>
  </si>
  <si>
    <t>PHN-5316</t>
  </si>
  <si>
    <t>LAP-4607</t>
  </si>
  <si>
    <t>MON-5276</t>
  </si>
  <si>
    <t>ACC-9533</t>
  </si>
  <si>
    <t>NET-3749</t>
  </si>
  <si>
    <t>PRN-2991</t>
  </si>
  <si>
    <t>LAP-4551</t>
  </si>
  <si>
    <t>MON-6310</t>
  </si>
  <si>
    <t>NET-1166</t>
  </si>
  <si>
    <t>ACC-2903</t>
  </si>
  <si>
    <t>PRN-2293</t>
  </si>
  <si>
    <t>MON-1389</t>
  </si>
  <si>
    <t>CMP-4093</t>
  </si>
  <si>
    <t>PHN-6131</t>
  </si>
  <si>
    <t>NET-4104</t>
  </si>
  <si>
    <t>MON-9319</t>
  </si>
  <si>
    <t>ACC-2988</t>
  </si>
  <si>
    <t>PHN-9399</t>
  </si>
  <si>
    <t>NET-4554</t>
  </si>
  <si>
    <t>NET-5195</t>
  </si>
  <si>
    <t>CMP-9801</t>
  </si>
  <si>
    <t>CMP-3093</t>
  </si>
  <si>
    <t>ACC-2364</t>
  </si>
  <si>
    <t>CMP-5138</t>
  </si>
  <si>
    <t>PHN-2337</t>
  </si>
  <si>
    <t>MON-2993</t>
  </si>
  <si>
    <t>LAP-9024</t>
  </si>
  <si>
    <t>PHN-6307</t>
  </si>
  <si>
    <t>NET-9003</t>
  </si>
  <si>
    <t>ACC-3068</t>
  </si>
  <si>
    <t>ACC-1060</t>
  </si>
  <si>
    <t>PHN-3854</t>
  </si>
  <si>
    <t>PRN-1086</t>
  </si>
  <si>
    <t>PHN-7815</t>
  </si>
  <si>
    <t>PRN-5384</t>
  </si>
  <si>
    <t>ACC-8178</t>
  </si>
  <si>
    <t>MON-1018</t>
  </si>
  <si>
    <t>ACC-1238</t>
  </si>
  <si>
    <t>NET-1816</t>
  </si>
  <si>
    <t>PRN-4893</t>
  </si>
  <si>
    <t>PHN-1717</t>
  </si>
  <si>
    <t>NET-9575</t>
  </si>
  <si>
    <t>LAP-3604</t>
  </si>
  <si>
    <t>ACC-6626</t>
  </si>
  <si>
    <t>PHN-1670</t>
  </si>
  <si>
    <t>CMP-4792</t>
  </si>
  <si>
    <t>LAP-1990</t>
  </si>
  <si>
    <t>PRN-7410</t>
  </si>
  <si>
    <t>MON-4278</t>
  </si>
  <si>
    <t>ACC-5334</t>
  </si>
  <si>
    <t>NET-8957</t>
  </si>
  <si>
    <t>PRN-9960</t>
  </si>
  <si>
    <t>ACC-3103</t>
  </si>
  <si>
    <t>PRN-9490</t>
  </si>
  <si>
    <t>NET-3850</t>
  </si>
  <si>
    <t>ACC-7047</t>
  </si>
  <si>
    <t>PRN-6660</t>
  </si>
  <si>
    <t>ACC-7838</t>
  </si>
  <si>
    <t>PHN-5383</t>
  </si>
  <si>
    <t>LAP-3904</t>
  </si>
  <si>
    <t>MON-5749</t>
  </si>
  <si>
    <t>PRN-3690</t>
  </si>
  <si>
    <t>CMP-7055</t>
  </si>
  <si>
    <t>PHN-6866</t>
  </si>
  <si>
    <t>CMP-3259</t>
  </si>
  <si>
    <t>LAP-6750</t>
  </si>
  <si>
    <t>PRN-3775</t>
  </si>
  <si>
    <t>LAP-2942</t>
  </si>
  <si>
    <t>PHN-2036</t>
  </si>
  <si>
    <t>MON-4373</t>
  </si>
  <si>
    <t>PRN-8657</t>
  </si>
  <si>
    <t>PHN-7974</t>
  </si>
  <si>
    <t>PHN-4915</t>
  </si>
  <si>
    <t>NET-3535</t>
  </si>
  <si>
    <t>CMP-2574</t>
  </si>
  <si>
    <t>NET-7901</t>
  </si>
  <si>
    <t>NET-5482</t>
  </si>
  <si>
    <t>NET-1336</t>
  </si>
  <si>
    <t>PRN-5876</t>
  </si>
  <si>
    <t>NET-3828</t>
  </si>
  <si>
    <t>MON-7622</t>
  </si>
  <si>
    <t>LAP-2806</t>
  </si>
  <si>
    <t>PRN-8850</t>
  </si>
  <si>
    <t>LAP-9100</t>
  </si>
  <si>
    <t>LAP-5763</t>
  </si>
  <si>
    <t>LAP-7320</t>
  </si>
  <si>
    <t>MON-5891</t>
  </si>
  <si>
    <t>PRN-1183</t>
  </si>
  <si>
    <t>CMP-2096</t>
  </si>
  <si>
    <t>PHN-3398</t>
  </si>
  <si>
    <t>CMP-8545</t>
  </si>
  <si>
    <t>ACC-1249</t>
  </si>
  <si>
    <t>MON-9662</t>
  </si>
  <si>
    <t>LAP-8347</t>
  </si>
  <si>
    <t>CMP-6898</t>
  </si>
  <si>
    <t>MON-3504</t>
  </si>
  <si>
    <t>NET-3432</t>
  </si>
  <si>
    <t>PRN-5591</t>
  </si>
  <si>
    <t>CMP-2015</t>
  </si>
  <si>
    <t>LAP-9901</t>
  </si>
  <si>
    <t>CMP-8658</t>
  </si>
  <si>
    <t>MON-2073</t>
  </si>
  <si>
    <t>PRN-9378</t>
  </si>
  <si>
    <t>PHN-5887</t>
  </si>
  <si>
    <t>LAP-8119</t>
  </si>
  <si>
    <t>ACC-9644</t>
  </si>
  <si>
    <t>LAP-7009</t>
  </si>
  <si>
    <t>PRN-1725</t>
  </si>
  <si>
    <t>PHN-8483</t>
  </si>
  <si>
    <t>PHN-3971</t>
  </si>
  <si>
    <t>NET-6578</t>
  </si>
  <si>
    <t>PRN-9975</t>
  </si>
  <si>
    <t>ACC-1075</t>
  </si>
  <si>
    <t>ACC-2902</t>
  </si>
  <si>
    <t>PRN-5815</t>
  </si>
  <si>
    <t>MON-4195</t>
  </si>
  <si>
    <t>PHN-8478</t>
  </si>
  <si>
    <t>PHN-1044</t>
  </si>
  <si>
    <t>LAP-8910</t>
  </si>
  <si>
    <t>PHN-2859</t>
  </si>
  <si>
    <t>PRN-6308</t>
  </si>
  <si>
    <t>LAP-8469</t>
  </si>
  <si>
    <t>LAP-7553</t>
  </si>
  <si>
    <t>PHN-3077</t>
  </si>
  <si>
    <t>MON-3350</t>
  </si>
  <si>
    <t>PHN-5683</t>
  </si>
  <si>
    <t>PRN-2409</t>
  </si>
  <si>
    <t>LAP-8825</t>
  </si>
  <si>
    <t>MON-8697</t>
  </si>
  <si>
    <t>MON-4789</t>
  </si>
  <si>
    <t>NET-7998</t>
  </si>
  <si>
    <t>PHN-8891</t>
  </si>
  <si>
    <t>NET-9832</t>
  </si>
  <si>
    <t>CMP-8604</t>
  </si>
  <si>
    <t>ACC-6594</t>
  </si>
  <si>
    <t>NET-2499</t>
  </si>
  <si>
    <t>PRN-1923</t>
  </si>
  <si>
    <t>PHN-4346</t>
  </si>
  <si>
    <t>ACC-1375</t>
  </si>
  <si>
    <t>PRN-4892</t>
  </si>
  <si>
    <t>PRN-9557</t>
  </si>
  <si>
    <t>PRN-8008</t>
  </si>
  <si>
    <t>LAP-1946</t>
  </si>
  <si>
    <t>MON-7106</t>
  </si>
  <si>
    <t>MON-5386</t>
  </si>
  <si>
    <t>PHN-2436</t>
  </si>
  <si>
    <t>PRN-2301</t>
  </si>
  <si>
    <t>ACC-3645</t>
  </si>
  <si>
    <t>CMP-6811</t>
  </si>
  <si>
    <t>PHN-5675</t>
  </si>
  <si>
    <t>MON-6882</t>
  </si>
  <si>
    <t>ACC-8620</t>
  </si>
  <si>
    <t>PHN-6506</t>
  </si>
  <si>
    <t>MON-5086</t>
  </si>
  <si>
    <t>LAP-4899</t>
  </si>
  <si>
    <t>CMP-3313</t>
  </si>
  <si>
    <t>CMP-6649</t>
  </si>
  <si>
    <t>ACC-5206</t>
  </si>
  <si>
    <t>PRN-6911</t>
  </si>
  <si>
    <t>NET-5270</t>
  </si>
  <si>
    <t>CMP-5658</t>
  </si>
  <si>
    <t>CMP-3938</t>
  </si>
  <si>
    <t>ACC-7671</t>
  </si>
  <si>
    <t>NET-6014</t>
  </si>
  <si>
    <t>CMP-4159</t>
  </si>
  <si>
    <t>PRN-3159</t>
  </si>
  <si>
    <t>PRN-9488</t>
  </si>
  <si>
    <t>PRN-7079</t>
  </si>
  <si>
    <t>CMP-1220</t>
  </si>
  <si>
    <t>MON-2462</t>
  </si>
  <si>
    <t>PHN-9465</t>
  </si>
  <si>
    <t>PRN-1271</t>
  </si>
  <si>
    <t>LAP-1066</t>
  </si>
  <si>
    <t>CMP-8675</t>
  </si>
  <si>
    <t>LAP-1178</t>
  </si>
  <si>
    <t>ACC-1731</t>
  </si>
  <si>
    <t>NET-1893</t>
  </si>
  <si>
    <t>PRN-3917</t>
  </si>
  <si>
    <t>LAP-3220</t>
  </si>
  <si>
    <t>PHN-2462</t>
  </si>
  <si>
    <t>NET-2894</t>
  </si>
  <si>
    <t>CMP-2335</t>
  </si>
  <si>
    <t>PHN-5938</t>
  </si>
  <si>
    <t>PRN-1371</t>
  </si>
  <si>
    <t>PRN-5813</t>
  </si>
  <si>
    <t>PHN-6480</t>
  </si>
  <si>
    <t>ACC-2990</t>
  </si>
  <si>
    <t>CMP-5435</t>
  </si>
  <si>
    <t>ACC-1596</t>
  </si>
  <si>
    <t>PHN-7852</t>
  </si>
  <si>
    <t>ACC-7240</t>
  </si>
  <si>
    <t>MON-8867</t>
  </si>
  <si>
    <t>NET-1228</t>
  </si>
  <si>
    <t>NET-1145</t>
  </si>
  <si>
    <t>ACC-2867</t>
  </si>
  <si>
    <t>MON-9274</t>
  </si>
  <si>
    <t>MON-4830</t>
  </si>
  <si>
    <t>PHN-9107</t>
  </si>
  <si>
    <t>PRN-1060</t>
  </si>
  <si>
    <t>NET-8329</t>
  </si>
  <si>
    <t>NET-6269</t>
  </si>
  <si>
    <t>CMP-6529</t>
  </si>
  <si>
    <t>PHN-8776</t>
  </si>
  <si>
    <t>NET-3728</t>
  </si>
  <si>
    <t>LAP-3565</t>
  </si>
  <si>
    <t>LAP-5078</t>
  </si>
  <si>
    <t>MON-2465</t>
  </si>
  <si>
    <t>CMP-3223</t>
  </si>
  <si>
    <t>CMP-8127</t>
  </si>
  <si>
    <t>PHN-1924</t>
  </si>
  <si>
    <t>CMP-1156</t>
  </si>
  <si>
    <t>LAP-3905</t>
  </si>
  <si>
    <t>PRN-1786</t>
  </si>
  <si>
    <t>ACC-3349</t>
  </si>
  <si>
    <t>NET-4228</t>
  </si>
  <si>
    <t>CMP-5633</t>
  </si>
  <si>
    <t>CMP-5825</t>
  </si>
  <si>
    <t>LAP-6499</t>
  </si>
  <si>
    <t>ACC-3721</t>
  </si>
  <si>
    <t>MON-6190</t>
  </si>
  <si>
    <t>CMP-2410</t>
  </si>
  <si>
    <t>PRN-2641</t>
  </si>
  <si>
    <t>PRN-1882</t>
  </si>
  <si>
    <t>PRN-1641</t>
  </si>
  <si>
    <t>LAP-1739</t>
  </si>
  <si>
    <t>PRN-4732</t>
  </si>
  <si>
    <t>NET-9569</t>
  </si>
  <si>
    <t>PHN-3007</t>
  </si>
  <si>
    <t>MON-9216</t>
  </si>
  <si>
    <t>PHN-8072</t>
  </si>
  <si>
    <t>LAP-1308</t>
  </si>
  <si>
    <t>LAP-7353</t>
  </si>
  <si>
    <t>NET-6533</t>
  </si>
  <si>
    <t>ACC-9445</t>
  </si>
  <si>
    <t>PRN-1654</t>
  </si>
  <si>
    <t>NET-8787</t>
  </si>
  <si>
    <t>LAP-1989</t>
  </si>
  <si>
    <t>MON-8688</t>
  </si>
  <si>
    <t>ACC-8242</t>
  </si>
  <si>
    <t>LAP-4666</t>
  </si>
  <si>
    <t>NET-5196</t>
  </si>
  <si>
    <t>MON-8422</t>
  </si>
  <si>
    <t>ACC-3415</t>
  </si>
  <si>
    <t>PRN-9624</t>
  </si>
  <si>
    <t>MON-6287</t>
  </si>
  <si>
    <t>NET-4491</t>
  </si>
  <si>
    <t>MON-4317</t>
  </si>
  <si>
    <t>NET-7349</t>
  </si>
  <si>
    <t>ACC-5150</t>
  </si>
  <si>
    <t>ACC-5144</t>
  </si>
  <si>
    <t>PHN-6111</t>
  </si>
  <si>
    <t>ACC-9283</t>
  </si>
  <si>
    <t>PRN-2407</t>
  </si>
  <si>
    <t>MON-7099</t>
  </si>
  <si>
    <t>ACC-7354</t>
  </si>
  <si>
    <t>PRN-6585</t>
  </si>
  <si>
    <t>CMP-9498</t>
  </si>
  <si>
    <t>PHN-1919</t>
  </si>
  <si>
    <t>MON-6053</t>
  </si>
  <si>
    <t>NET-2502</t>
  </si>
  <si>
    <t>LAP-5689</t>
  </si>
  <si>
    <t>CMP-5911</t>
  </si>
  <si>
    <t>LAP-7523</t>
  </si>
  <si>
    <t>MON-1118</t>
  </si>
  <si>
    <t>NET-9177</t>
  </si>
  <si>
    <t>CMP-6495</t>
  </si>
  <si>
    <t>ACC-4587</t>
  </si>
  <si>
    <t>PHN-4395</t>
  </si>
  <si>
    <t>LAP-3581</t>
  </si>
  <si>
    <t>MON-6065</t>
  </si>
  <si>
    <t>CMP-4945</t>
  </si>
  <si>
    <t>NET-3785</t>
  </si>
  <si>
    <t>NET-3689</t>
  </si>
  <si>
    <t>ACC-3833</t>
  </si>
  <si>
    <t>NET-2932</t>
  </si>
  <si>
    <t>PHN-7636</t>
  </si>
  <si>
    <t>CMP-1223</t>
  </si>
  <si>
    <t>MON-7207</t>
  </si>
  <si>
    <t>LAP-4483</t>
  </si>
  <si>
    <t>LAP-1969</t>
  </si>
  <si>
    <t>PHN-4566</t>
  </si>
  <si>
    <t>PHN-5366</t>
  </si>
  <si>
    <t>CMP-9001</t>
  </si>
  <si>
    <t>PHN-9677</t>
  </si>
  <si>
    <t>ACC-1604</t>
  </si>
  <si>
    <t>ACC-4815</t>
  </si>
  <si>
    <t>CMP-5311</t>
  </si>
  <si>
    <t>NET-1282</t>
  </si>
  <si>
    <t>MON-1564</t>
  </si>
  <si>
    <t>ACC-7906</t>
  </si>
  <si>
    <t>LAP-6577</t>
  </si>
  <si>
    <t>CMP-5065</t>
  </si>
  <si>
    <t>PRN-4787</t>
  </si>
  <si>
    <t>PRN-9867</t>
  </si>
  <si>
    <t>MON-2849</t>
  </si>
  <si>
    <t>LAP-8633</t>
  </si>
  <si>
    <t>PRN-9793</t>
  </si>
  <si>
    <t>NET-6218</t>
  </si>
  <si>
    <t>PRN-6131</t>
  </si>
  <si>
    <t>PRN-5067</t>
  </si>
  <si>
    <t>LAP-4932</t>
  </si>
  <si>
    <t>ACC-7713</t>
  </si>
  <si>
    <t>PHN-7379</t>
  </si>
  <si>
    <t>PRN-5569</t>
  </si>
  <si>
    <t>CMP-1470</t>
  </si>
  <si>
    <t>PRN-9249</t>
  </si>
  <si>
    <t>PRN-4906</t>
  </si>
  <si>
    <t>MON-8129</t>
  </si>
  <si>
    <t>NET-5987</t>
  </si>
  <si>
    <t>NET-5423</t>
  </si>
  <si>
    <t>PRN-5264</t>
  </si>
  <si>
    <t>NET-8856</t>
  </si>
  <si>
    <t>MON-4215</t>
  </si>
  <si>
    <t>PRN-5753</t>
  </si>
  <si>
    <t>CMP-5006</t>
  </si>
  <si>
    <t>ACC-4766</t>
  </si>
  <si>
    <t>NET-8610</t>
  </si>
  <si>
    <t>NET-4675</t>
  </si>
  <si>
    <t>ACC-1028</t>
  </si>
  <si>
    <t>NET-4735</t>
  </si>
  <si>
    <t>NET-2460</t>
  </si>
  <si>
    <t>CMP-1555</t>
  </si>
  <si>
    <t>MON-3773</t>
  </si>
  <si>
    <t>PHN-4677</t>
  </si>
  <si>
    <t>CMP-1940</t>
  </si>
  <si>
    <t>PHN-9184</t>
  </si>
  <si>
    <t>LAP-3017</t>
  </si>
  <si>
    <t>Assignment</t>
  </si>
  <si>
    <t>Excel Mastery Assignment: Sales Operations &amp; Analytics</t>
  </si>
  <si>
    <t>Overview:</t>
  </si>
  <si>
    <t>You are an analyst for a multi-regional electronics distributor. The 'Data' sheet contains 632 rows and 15 columns of transactional data with intentional data-quality issues.</t>
  </si>
  <si>
    <t>Your job is to clean, enrich, analyze, and present insights via a dynamic dashboard.</t>
  </si>
  <si>
    <t>Part A — Data Cleaning &amp; Preparation:</t>
  </si>
  <si>
    <t>1) Create a staging table where you:</t>
  </si>
  <si>
    <t xml:space="preserve">   • Remove exact duplicate rows (define and document your duplicate criteria).</t>
  </si>
  <si>
    <t xml:space="preserve">   • Fix data types (dates as Dates, numeric fields as numbers).</t>
  </si>
  <si>
    <t xml:space="preserve">   • Handle missing values for City, Salesperson, and Channel using reasonable business logic (document your approach).</t>
  </si>
  <si>
    <t xml:space="preserve">   • Flag and correct suspicious UnitPrice values (e.g., negative prices) and discounts (e.g., &gt; 30%).</t>
  </si>
  <si>
    <t xml:space="preserve">   • Ensure RequiredDate is not earlier than OrderDate; where it is, impute a corrected RequiredDate (explain your rule).</t>
  </si>
  <si>
    <t xml:space="preserve">   • Add a derived 'LeadTimeDays' = RequiredDate − OrderDate (in days).</t>
  </si>
  <si>
    <t>2) Create calculated columns (do these in Excel, not by formula in the data source):</t>
  </si>
  <si>
    <t xml:space="preserve">   • GrossRevenue = UnitPrice × Quantity × (1 − DiscountPct).</t>
  </si>
  <si>
    <t xml:space="preserve">   • CostOfGoods = UnitCost × Quantity.</t>
  </si>
  <si>
    <t xml:space="preserve">   • GrossProfit = GrossRevenue − CostOfGoods.</t>
  </si>
  <si>
    <t xml:space="preserve">   • MarginPct = IF(GrossRevenue=0, 0, GrossProfit / GrossRevenue).</t>
  </si>
  <si>
    <t>3) Create standardized dimensions:</t>
  </si>
  <si>
    <t xml:space="preserve">   • Month (MMM-YYYY) from OrderDate.</t>
  </si>
  <si>
    <t xml:space="preserve">   • Quarter (e.g., Q1-2024).</t>
  </si>
  <si>
    <t xml:space="preserve">   • Region hierarchy: Region → Country → City.</t>
  </si>
  <si>
    <t xml:space="preserve">   • ProductCategory and a derived 'PriceBand' (e.g., Low/Medium/High using quantiles).</t>
  </si>
  <si>
    <t>Part B — Analysis Tasks (show workings with PivotTables / formulas):</t>
  </si>
  <si>
    <t>4) Build a cohort of first-time sales by Country and Month:</t>
  </si>
  <si>
    <t xml:space="preserve">   • Identify the first month each Country appears and calculate monthly revenue tracked from that start (cohort analysis).</t>
  </si>
  <si>
    <t>5) ABC analysis by SKU within each ProductCategory using GrossRevenue:</t>
  </si>
  <si>
    <t xml:space="preserve">   • Classify SKUs into A (top 80%), B (next 15%), C (last 5%) of revenue per category.</t>
  </si>
  <si>
    <t>6) Salesperson productivity:</t>
  </si>
  <si>
    <t xml:space="preserve">   • Compute Revenue/Order, Orders/Month, and GrossProfit/Order by Salesperson; highlight the top and bottom 3.</t>
  </si>
  <si>
    <t>7) Channel mix &amp; cannibalization:</t>
  </si>
  <si>
    <t xml:space="preserve">   • Compare revenue shares by Channel across Regions; identify where online cannibalizes retail (justify with data).</t>
  </si>
  <si>
    <t>8) Service level proxy:</t>
  </si>
  <si>
    <t xml:space="preserve">   • Using LeadTimeDays, determine % of orders meeting a 7-day target by Country and Category.</t>
  </si>
  <si>
    <t>9) Price compliance:</t>
  </si>
  <si>
    <t xml:space="preserve">   • Share of orders with DiscountPct &gt; 20% by Region and Salesperson; list outliers.</t>
  </si>
  <si>
    <t>Part C — Scenario Modeling (What-If):</t>
  </si>
  <si>
    <t>10) Build a What-If control panel (slider/cell inputs):</t>
  </si>
  <si>
    <t xml:space="preserve">   • Global Discount Cap (e.g., 0%–25%).</t>
  </si>
  <si>
    <t xml:space="preserve">   • UnitCost inflation factor (e.g., 0%–15%).</t>
  </si>
  <si>
    <t xml:space="preserve">   • Quantity uplift (e.g., 0%–20%).</t>
  </si>
  <si>
    <t xml:space="preserve">   Recalculate Revenue and Profit metrics under these scenarios and compare to the baseline.</t>
  </si>
  <si>
    <t>Part D — Interactive Dashboard:</t>
  </si>
  <si>
    <t>11) Create a single-page dashboard with:</t>
  </si>
  <si>
    <t xml:space="preserve">   • Slicers for Region, Country, Channel, ProductCategory, Month, and Salesperson.</t>
  </si>
  <si>
    <t xml:space="preserve">   • KPIs: Total Revenue, Gross Profit, Margin %, Avg Order Value, On-Time % (LeadTimeDays ≤ 7).</t>
  </si>
  <si>
    <t xml:space="preserve">   • Visuals:</t>
  </si>
  <si>
    <t xml:space="preserve">       – Revenue by Month (line chart).</t>
  </si>
  <si>
    <t xml:space="preserve">       – Profit by Region and Channel (stacked column).</t>
  </si>
  <si>
    <t xml:space="preserve">       – Top 10 SKUs by Revenue (bar).</t>
  </si>
  <si>
    <t xml:space="preserve">       – Discount Outliers (box/whisker or scatter) — if Excel version permits, else alternative view.</t>
  </si>
  <si>
    <t xml:space="preserve">   • Dynamic titles reflecting applied filters.</t>
  </si>
  <si>
    <t>12) Tell a story:</t>
  </si>
  <si>
    <t xml:space="preserve">   • Write 5–8 bullet insights derived from the dashboard; include at least one insight per Region.</t>
  </si>
  <si>
    <t>Part E — Submission Checklist:</t>
  </si>
  <si>
    <t>13) Include a 'ReadMe' sheet summarizing: data issues found, cleaning rules, and assumptions.</t>
  </si>
  <si>
    <t>14) Ensure all measures are built with Excel formulas or Power Pivot (no hard-coded totals).</t>
  </si>
  <si>
    <t>15) Ensure your dashboard responds to slicers without broken references.</t>
  </si>
  <si>
    <t>Grand Total</t>
  </si>
  <si>
    <t>Row Labels</t>
  </si>
  <si>
    <t>Sum of UnitCost</t>
  </si>
  <si>
    <t>Sum of UnitPrice</t>
  </si>
  <si>
    <t>Sum of DiscountPct</t>
  </si>
  <si>
    <t>Sum of Quantity</t>
  </si>
  <si>
    <t xml:space="preserve"> </t>
  </si>
  <si>
    <t xml:space="preserve">  </t>
  </si>
  <si>
    <t>Unknown</t>
  </si>
  <si>
    <t xml:space="preserve">average  </t>
  </si>
  <si>
    <t>median</t>
  </si>
  <si>
    <t>LeadTimeDays</t>
  </si>
  <si>
    <t>GrossRevenue</t>
  </si>
  <si>
    <t>Cost Of Goods</t>
  </si>
  <si>
    <t>Gross Profit</t>
  </si>
  <si>
    <t>MarginPct</t>
  </si>
  <si>
    <t>Quarter</t>
  </si>
  <si>
    <t>(blank)</t>
  </si>
  <si>
    <t>Sum of GrossRevenue</t>
  </si>
  <si>
    <t>2023</t>
  </si>
  <si>
    <t>2024</t>
  </si>
  <si>
    <t>2025</t>
  </si>
  <si>
    <t>&lt;02/01/2023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</si>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</sst>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6" formatCode="0.000"/>
    <numFmt numFmtId="168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0" fontId="0" fillId="0" borderId="0" xfId="0" applyNumberFormat="1"/>
    <xf numFmtId="0" fontId="1" fillId="0" borderId="0" xfId="0" applyFont="1"/>
    <xf numFmtId="0" fontId="1" fillId="0" borderId="0" xfId="0" applyFont="1" applyFill="1" applyBorder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  <xf numFmtId="168" fontId="2" fillId="0" borderId="0" xfId="0" applyNumberFormat="1" applyFont="1"/>
    <xf numFmtId="0" fontId="0" fillId="0" borderId="0" xfId="0" applyAlignment="1">
      <alignment horizontal="left" inden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owerPivotData" Target="model/item.data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eaned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eaned Data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e" refreshedDate="46058.482011921296" createdVersion="6" refreshedVersion="6" minRefreshableVersion="3" recordCount="636" xr:uid="{9C301AE2-A2F5-4766-9AE0-85DFEAC212BF}">
  <cacheSource type="worksheet">
    <worksheetSource ref="A1:V1048576" sheet="Correct Staging Data"/>
  </cacheSource>
  <cacheFields count="23">
    <cacheField name="OrderID" numFmtId="0">
      <sharedItems containsBlank="1"/>
    </cacheField>
    <cacheField name="OrderDate" numFmtId="168">
      <sharedItems containsNonDate="0" containsDate="1" containsString="0" containsBlank="1" minDate="2023-01-02T00:00:00" maxDate="2025-09-16T00:00:00" count="469">
        <d v="2025-08-07T00:00:00"/>
        <d v="2025-04-10T00:00:00"/>
        <d v="2025-06-19T00:00:00"/>
        <d v="2023-01-20T00:00:00"/>
        <d v="2023-08-19T00:00:00"/>
        <d v="2024-09-10T00:00:00"/>
        <d v="2023-07-18T00:00:00"/>
        <d v="2023-10-31T00:00:00"/>
        <d v="2023-03-23T00:00:00"/>
        <d v="2025-01-21T00:00:00"/>
        <d v="2025-08-28T00:00:00"/>
        <d v="2023-03-13T00:00:00"/>
        <d v="2025-07-11T00:00:00"/>
        <d v="2023-02-28T00:00:00"/>
        <d v="2023-02-15T00:00:00"/>
        <d v="2023-05-17T00:00:00"/>
        <d v="2024-09-13T00:00:00"/>
        <d v="2024-07-19T00:00:00"/>
        <d v="2024-03-11T00:00:00"/>
        <d v="2024-06-30T00:00:00"/>
        <d v="2023-08-17T00:00:00"/>
        <d v="2024-12-10T00:00:00"/>
        <d v="2023-07-14T00:00:00"/>
        <d v="2023-07-01T00:00:00"/>
        <d v="2025-01-29T00:00:00"/>
        <d v="2024-08-23T00:00:00"/>
        <d v="2023-10-18T00:00:00"/>
        <d v="2023-08-15T00:00:00"/>
        <d v="2024-05-21T00:00:00"/>
        <d v="2023-03-31T00:00:00"/>
        <d v="2024-10-23T00:00:00"/>
        <d v="2024-04-16T00:00:00"/>
        <d v="2025-05-02T00:00:00"/>
        <d v="2023-01-15T00:00:00"/>
        <d v="2024-06-02T00:00:00"/>
        <d v="2024-10-14T00:00:00"/>
        <d v="2024-04-19T00:00:00"/>
        <d v="2025-07-03T00:00:00"/>
        <d v="2023-01-07T00:00:00"/>
        <d v="2023-05-11T00:00:00"/>
        <d v="2024-02-06T00:00:00"/>
        <d v="2024-04-24T00:00:00"/>
        <d v="2025-06-26T00:00:00"/>
        <d v="2025-09-14T00:00:00"/>
        <d v="2023-10-26T00:00:00"/>
        <d v="2024-11-30T00:00:00"/>
        <d v="2024-02-11T00:00:00"/>
        <d v="2023-02-21T00:00:00"/>
        <d v="2023-06-23T00:00:00"/>
        <d v="2024-01-11T00:00:00"/>
        <d v="2023-07-08T00:00:00"/>
        <d v="2024-05-28T00:00:00"/>
        <d v="2025-03-30T00:00:00"/>
        <d v="2025-06-24T00:00:00"/>
        <d v="2024-06-11T00:00:00"/>
        <d v="2023-03-07T00:00:00"/>
        <d v="2024-03-06T00:00:00"/>
        <d v="2024-10-02T00:00:00"/>
        <d v="2023-12-21T00:00:00"/>
        <d v="2024-08-03T00:00:00"/>
        <d v="2025-02-21T00:00:00"/>
        <d v="2025-04-16T00:00:00"/>
        <d v="2024-09-06T00:00:00"/>
        <d v="2024-06-16T00:00:00"/>
        <d v="2025-06-14T00:00:00"/>
        <d v="2025-07-19T00:00:00"/>
        <d v="2024-11-08T00:00:00"/>
        <d v="2023-11-30T00:00:00"/>
        <d v="2023-05-07T00:00:00"/>
        <d v="2023-04-06T00:00:00"/>
        <d v="2025-07-24T00:00:00"/>
        <d v="2023-08-25T00:00:00"/>
        <d v="2025-03-29T00:00:00"/>
        <d v="2023-12-22T00:00:00"/>
        <d v="2023-07-07T00:00:00"/>
        <d v="2024-05-04T00:00:00"/>
        <d v="2025-04-12T00:00:00"/>
        <d v="2023-10-09T00:00:00"/>
        <d v="2023-05-04T00:00:00"/>
        <d v="2023-04-14T00:00:00"/>
        <d v="2023-08-24T00:00:00"/>
        <d v="2023-07-24T00:00:00"/>
        <d v="2023-05-20T00:00:00"/>
        <d v="2023-07-25T00:00:00"/>
        <d v="2024-03-04T00:00:00"/>
        <d v="2024-11-22T00:00:00"/>
        <d v="2024-04-12T00:00:00"/>
        <d v="2025-09-11T00:00:00"/>
        <d v="2024-01-18T00:00:00"/>
        <d v="2024-11-27T00:00:00"/>
        <d v="2024-10-22T00:00:00"/>
        <d v="2025-02-07T00:00:00"/>
        <d v="2024-05-07T00:00:00"/>
        <d v="2024-06-29T00:00:00"/>
        <d v="2023-12-28T00:00:00"/>
        <d v="2025-05-17T00:00:00"/>
        <d v="2023-03-14T00:00:00"/>
        <d v="2025-03-25T00:00:00"/>
        <d v="2024-10-04T00:00:00"/>
        <d v="2024-03-13T00:00:00"/>
        <d v="2025-05-21T00:00:00"/>
        <d v="2024-06-05T00:00:00"/>
        <d v="2025-06-21T00:00:00"/>
        <d v="2025-07-16T00:00:00"/>
        <d v="2023-05-14T00:00:00"/>
        <d v="2023-07-03T00:00:00"/>
        <d v="2024-06-08T00:00:00"/>
        <d v="2024-05-23T00:00:00"/>
        <d v="2024-10-29T00:00:00"/>
        <d v="2024-04-21T00:00:00"/>
        <d v="2024-10-25T00:00:00"/>
        <d v="2024-06-23T00:00:00"/>
        <d v="2023-12-29T00:00:00"/>
        <d v="2023-09-08T00:00:00"/>
        <d v="2023-02-08T00:00:00"/>
        <d v="2025-09-10T00:00:00"/>
        <d v="2025-03-03T00:00:00"/>
        <d v="2024-02-18T00:00:00"/>
        <d v="2025-07-21T00:00:00"/>
        <d v="2024-02-08T00:00:00"/>
        <d v="2024-04-05T00:00:00"/>
        <d v="2024-05-18T00:00:00"/>
        <d v="2024-01-28T00:00:00"/>
        <d v="2024-09-03T00:00:00"/>
        <d v="2023-06-10T00:00:00"/>
        <d v="2023-08-26T00:00:00"/>
        <d v="2025-01-07T00:00:00"/>
        <d v="2025-02-15T00:00:00"/>
        <d v="2024-06-19T00:00:00"/>
        <d v="2023-04-23T00:00:00"/>
        <d v="2024-07-25T00:00:00"/>
        <d v="2023-02-11T00:00:00"/>
        <d v="2025-08-25T00:00:00"/>
        <d v="2023-05-01T00:00:00"/>
        <d v="2024-06-25T00:00:00"/>
        <d v="2025-06-15T00:00:00"/>
        <d v="2025-03-31T00:00:00"/>
        <d v="2024-10-19T00:00:00"/>
        <d v="2024-09-19T00:00:00"/>
        <d v="2024-02-16T00:00:00"/>
        <d v="2025-08-20T00:00:00"/>
        <d v="2025-01-10T00:00:00"/>
        <d v="2024-05-30T00:00:00"/>
        <d v="2023-09-17T00:00:00"/>
        <d v="2023-12-03T00:00:00"/>
        <d v="2025-05-18T00:00:00"/>
        <d v="2023-07-26T00:00:00"/>
        <d v="2023-06-17T00:00:00"/>
        <d v="2023-07-19T00:00:00"/>
        <d v="2024-08-04T00:00:00"/>
        <d v="2023-06-24T00:00:00"/>
        <d v="2023-12-19T00:00:00"/>
        <d v="2025-02-17T00:00:00"/>
        <d v="2023-05-23T00:00:00"/>
        <d v="2024-05-19T00:00:00"/>
        <d v="2025-09-01T00:00:00"/>
        <d v="2024-05-17T00:00:00"/>
        <d v="2024-03-15T00:00:00"/>
        <d v="2025-09-08T00:00:00"/>
        <d v="2025-07-17T00:00:00"/>
        <d v="2024-09-22T00:00:00"/>
        <d v="2025-04-06T00:00:00"/>
        <d v="2023-02-27T00:00:00"/>
        <d v="2024-08-28T00:00:00"/>
        <d v="2024-03-30T00:00:00"/>
        <d v="2024-03-02T00:00:00"/>
        <d v="2025-01-17T00:00:00"/>
        <d v="2023-01-22T00:00:00"/>
        <d v="2025-04-24T00:00:00"/>
        <d v="2025-07-14T00:00:00"/>
        <d v="2025-03-06T00:00:00"/>
        <d v="2023-02-23T00:00:00"/>
        <d v="2023-08-02T00:00:00"/>
        <d v="2023-04-05T00:00:00"/>
        <d v="2023-02-24T00:00:00"/>
        <d v="2023-06-13T00:00:00"/>
        <d v="2024-09-23T00:00:00"/>
        <d v="2023-02-07T00:00:00"/>
        <d v="2024-09-25T00:00:00"/>
        <d v="2024-02-20T00:00:00"/>
        <d v="2023-04-13T00:00:00"/>
        <d v="2023-01-29T00:00:00"/>
        <d v="2024-01-02T00:00:00"/>
        <d v="2023-09-25T00:00:00"/>
        <d v="2023-10-22T00:00:00"/>
        <d v="2024-12-21T00:00:00"/>
        <d v="2025-04-17T00:00:00"/>
        <d v="2024-05-20T00:00:00"/>
        <d v="2024-08-12T00:00:00"/>
        <d v="2024-07-13T00:00:00"/>
        <d v="2023-11-10T00:00:00"/>
        <d v="2025-04-09T00:00:00"/>
        <d v="2024-01-25T00:00:00"/>
        <d v="2025-08-10T00:00:00"/>
        <d v="2024-07-29T00:00:00"/>
        <d v="2024-12-27T00:00:00"/>
        <d v="2025-01-20T00:00:00"/>
        <d v="2025-07-20T00:00:00"/>
        <d v="2024-11-05T00:00:00"/>
        <d v="2023-06-20T00:00:00"/>
        <d v="2023-08-29T00:00:00"/>
        <d v="2025-02-25T00:00:00"/>
        <d v="2023-05-24T00:00:00"/>
        <d v="2023-06-03T00:00:00"/>
        <d v="2023-05-03T00:00:00"/>
        <d v="2025-05-19T00:00:00"/>
        <d v="2024-11-06T00:00:00"/>
        <d v="2024-01-12T00:00:00"/>
        <d v="2024-06-15T00:00:00"/>
        <d v="2025-04-23T00:00:00"/>
        <d v="2025-08-06T00:00:00"/>
        <d v="2023-03-04T00:00:00"/>
        <d v="2025-09-02T00:00:00"/>
        <d v="2024-02-01T00:00:00"/>
        <d v="2023-04-19T00:00:00"/>
        <d v="2024-04-03T00:00:00"/>
        <d v="2024-08-19T00:00:00"/>
        <d v="2025-06-03T00:00:00"/>
        <d v="2023-10-11T00:00:00"/>
        <d v="2024-11-07T00:00:00"/>
        <d v="2023-06-15T00:00:00"/>
        <d v="2023-04-16T00:00:00"/>
        <d v="2023-08-21T00:00:00"/>
        <d v="2024-08-16T00:00:00"/>
        <d v="2024-11-17T00:00:00"/>
        <d v="2025-08-03T00:00:00"/>
        <d v="2023-10-04T00:00:00"/>
        <d v="2025-01-11T00:00:00"/>
        <d v="2023-10-25T00:00:00"/>
        <d v="2025-05-14T00:00:00"/>
        <d v="2025-07-09T00:00:00"/>
        <d v="2025-02-09T00:00:00"/>
        <d v="2025-02-06T00:00:00"/>
        <d v="2023-02-05T00:00:00"/>
        <d v="2023-01-02T00:00:00"/>
        <d v="2024-03-09T00:00:00"/>
        <d v="2025-04-27T00:00:00"/>
        <d v="2023-08-04T00:00:00"/>
        <d v="2025-09-15T00:00:00"/>
        <d v="2024-12-05T00:00:00"/>
        <d v="2024-01-13T00:00:00"/>
        <d v="2024-09-02T00:00:00"/>
        <d v="2023-08-03T00:00:00"/>
        <d v="2024-08-17T00:00:00"/>
        <d v="2024-03-01T00:00:00"/>
        <d v="2023-08-10T00:00:00"/>
        <d v="2024-03-26T00:00:00"/>
        <d v="2024-03-27T00:00:00"/>
        <d v="2023-03-02T00:00:00"/>
        <d v="2024-06-03T00:00:00"/>
        <d v="2023-07-05T00:00:00"/>
        <d v="2023-11-14T00:00:00"/>
        <d v="2025-03-10T00:00:00"/>
        <d v="2025-02-12T00:00:00"/>
        <d v="2024-11-02T00:00:00"/>
        <d v="2023-01-13T00:00:00"/>
        <d v="2025-05-10T00:00:00"/>
        <d v="2024-09-09T00:00:00"/>
        <d v="2025-04-01T00:00:00"/>
        <d v="2023-12-05T00:00:00"/>
        <d v="2025-08-14T00:00:00"/>
        <d v="2023-12-24T00:00:00"/>
        <d v="2023-10-05T00:00:00"/>
        <d v="2023-09-20T00:00:00"/>
        <d v="2024-12-12T00:00:00"/>
        <d v="2023-04-18T00:00:00"/>
        <d v="2024-07-28T00:00:00"/>
        <d v="2023-10-07T00:00:00"/>
        <d v="2024-08-08T00:00:00"/>
        <d v="2025-08-21T00:00:00"/>
        <d v="2024-04-06T00:00:00"/>
        <d v="2025-05-16T00:00:00"/>
        <d v="2023-09-30T00:00:00"/>
        <d v="2023-11-19T00:00:00"/>
        <d v="2024-06-07T00:00:00"/>
        <d v="2023-04-22T00:00:00"/>
        <d v="2023-12-06T00:00:00"/>
        <d v="2023-05-10T00:00:00"/>
        <d v="2025-05-27T00:00:00"/>
        <d v="2025-06-05T00:00:00"/>
        <d v="2023-08-12T00:00:00"/>
        <d v="2023-06-01T00:00:00"/>
        <d v="2024-12-20T00:00:00"/>
        <d v="2023-06-09T00:00:00"/>
        <d v="2024-05-01T00:00:00"/>
        <d v="2023-04-21T00:00:00"/>
        <d v="2023-05-02T00:00:00"/>
        <d v="2024-06-04T00:00:00"/>
        <d v="2023-11-20T00:00:00"/>
        <d v="2023-12-16T00:00:00"/>
        <d v="2023-01-12T00:00:00"/>
        <d v="2024-10-16T00:00:00"/>
        <d v="2024-07-09T00:00:00"/>
        <d v="2025-01-04T00:00:00"/>
        <d v="2024-08-30T00:00:00"/>
        <d v="2024-02-03T00:00:00"/>
        <d v="2025-01-09T00:00:00"/>
        <d v="2024-09-14T00:00:00"/>
        <d v="2023-03-03T00:00:00"/>
        <d v="2023-10-30T00:00:00"/>
        <d v="2023-09-21T00:00:00"/>
        <d v="2024-08-31T00:00:00"/>
        <d v="2024-08-07T00:00:00"/>
        <d v="2025-03-24T00:00:00"/>
        <d v="2025-04-11T00:00:00"/>
        <d v="2024-10-30T00:00:00"/>
        <d v="2024-07-11T00:00:00"/>
        <d v="2024-10-27T00:00:00"/>
        <d v="2024-05-27T00:00:00"/>
        <d v="2025-04-13T00:00:00"/>
        <d v="2024-12-14T00:00:00"/>
        <d v="2024-10-11T00:00:00"/>
        <d v="2024-12-28T00:00:00"/>
        <d v="2024-06-09T00:00:00"/>
        <d v="2024-08-18T00:00:00"/>
        <d v="2023-08-30T00:00:00"/>
        <d v="2024-02-17T00:00:00"/>
        <d v="2025-07-27T00:00:00"/>
        <d v="2024-07-15T00:00:00"/>
        <d v="2024-02-19T00:00:00"/>
        <d v="2023-11-28T00:00:00"/>
        <d v="2024-07-31T00:00:00"/>
        <d v="2023-12-07T00:00:00"/>
        <d v="2024-02-27T00:00:00"/>
        <d v="2023-05-06T00:00:00"/>
        <d v="2023-07-30T00:00:00"/>
        <d v="2023-12-20T00:00:00"/>
        <d v="2025-06-17T00:00:00"/>
        <d v="2024-12-24T00:00:00"/>
        <d v="2025-09-12T00:00:00"/>
        <d v="2025-05-12T00:00:00"/>
        <d v="2023-03-27T00:00:00"/>
        <d v="2025-06-27T00:00:00"/>
        <d v="2025-07-22T00:00:00"/>
        <d v="2025-07-23T00:00:00"/>
        <d v="2023-06-29T00:00:00"/>
        <d v="2024-10-17T00:00:00"/>
        <d v="2024-02-14T00:00:00"/>
        <d v="2025-01-03T00:00:00"/>
        <d v="2025-03-14T00:00:00"/>
        <d v="2024-09-07T00:00:00"/>
        <d v="2025-03-08T00:00:00"/>
        <d v="2025-02-02T00:00:00"/>
        <d v="2024-09-05T00:00:00"/>
        <d v="2025-02-28T00:00:00"/>
        <d v="2023-07-22T00:00:00"/>
        <d v="2023-02-20T00:00:00"/>
        <d v="2025-01-22T00:00:00"/>
        <d v="2025-06-09T00:00:00"/>
        <d v="2023-03-25T00:00:00"/>
        <d v="2023-07-09T00:00:00"/>
        <d v="2024-05-22T00:00:00"/>
        <d v="2025-03-11T00:00:00"/>
        <d v="2023-10-15T00:00:00"/>
        <d v="2023-12-18T00:00:00"/>
        <d v="2024-03-03T00:00:00"/>
        <d v="2024-10-24T00:00:00"/>
        <d v="2025-03-21T00:00:00"/>
        <d v="2025-08-05T00:00:00"/>
        <d v="2024-11-25T00:00:00"/>
        <d v="2024-02-29T00:00:00"/>
        <d v="2025-08-01T00:00:00"/>
        <d v="2025-05-07T00:00:00"/>
        <d v="2025-02-19T00:00:00"/>
        <d v="2023-10-12T00:00:00"/>
        <d v="2024-03-23T00:00:00"/>
        <d v="2025-08-02T00:00:00"/>
        <d v="2025-05-15T00:00:00"/>
        <d v="2024-01-08T00:00:00"/>
        <d v="2023-09-18T00:00:00"/>
        <d v="2024-11-12T00:00:00"/>
        <d v="2025-03-15T00:00:00"/>
        <d v="2023-09-19T00:00:00"/>
        <d v="2025-04-28T00:00:00"/>
        <d v="2024-06-06T00:00:00"/>
        <d v="2023-03-06T00:00:00"/>
        <d v="2024-10-03T00:00:00"/>
        <d v="2024-12-15T00:00:00"/>
        <d v="2024-01-21T00:00:00"/>
        <d v="2024-08-27T00:00:00"/>
        <d v="2023-12-01T00:00:00"/>
        <d v="2025-01-27T00:00:00"/>
        <d v="2025-01-13T00:00:00"/>
        <d v="2024-04-18T00:00:00"/>
        <d v="2025-08-13T00:00:00"/>
        <d v="2023-04-10T00:00:00"/>
        <d v="2023-03-19T00:00:00"/>
        <d v="2025-01-31T00:00:00"/>
        <d v="2024-12-17T00:00:00"/>
        <d v="2024-01-24T00:00:00"/>
        <d v="2025-04-07T00:00:00"/>
        <d v="2023-03-17T00:00:00"/>
        <d v="2024-12-08T00:00:00"/>
        <d v="2024-11-11T00:00:00"/>
        <d v="2024-07-18T00:00:00"/>
        <d v="2023-12-26T00:00:00"/>
        <d v="2024-08-22T00:00:00"/>
        <d v="2025-02-16T00:00:00"/>
        <d v="2023-07-02T00:00:00"/>
        <d v="2023-06-22T00:00:00"/>
        <d v="2024-12-23T00:00:00"/>
        <d v="2023-05-27T00:00:00"/>
        <d v="2024-11-04T00:00:00"/>
        <d v="2024-05-14T00:00:00"/>
        <d v="2024-01-20T00:00:00"/>
        <d v="2024-03-07T00:00:00"/>
        <d v="2023-01-27T00:00:00"/>
        <d v="2023-07-16T00:00:00"/>
        <d v="2024-10-08T00:00:00"/>
        <d v="2024-12-07T00:00:00"/>
        <d v="2024-04-09T00:00:00"/>
        <d v="2024-03-16T00:00:00"/>
        <d v="2024-11-20T00:00:00"/>
        <d v="2024-08-14T00:00:00"/>
        <d v="2024-11-01T00:00:00"/>
        <d v="2023-01-26T00:00:00"/>
        <d v="2025-08-11T00:00:00"/>
        <d v="2024-03-18T00:00:00"/>
        <d v="2025-03-23T00:00:00"/>
        <d v="2025-04-14T00:00:00"/>
        <d v="2024-12-04T00:00:00"/>
        <d v="2024-05-12T00:00:00"/>
        <d v="2023-01-30T00:00:00"/>
        <d v="2023-12-30T00:00:00"/>
        <d v="2025-04-22T00:00:00"/>
        <d v="2025-04-04T00:00:00"/>
        <d v="2025-08-30T00:00:00"/>
        <d v="2023-07-10T00:00:00"/>
        <d v="2024-07-24T00:00:00"/>
        <d v="2023-08-27T00:00:00"/>
        <d v="2025-06-25T00:00:00"/>
        <d v="2025-02-04T00:00:00"/>
        <d v="2024-04-29T00:00:00"/>
        <d v="2024-06-10T00:00:00"/>
        <d v="2024-05-05T00:00:00"/>
        <d v="2023-04-03T00:00:00"/>
        <d v="2024-01-16T00:00:00"/>
        <d v="2024-04-26T00:00:00"/>
        <d v="2024-01-01T00:00:00"/>
        <d v="2024-10-10T00:00:00"/>
        <d v="2024-10-09T00:00:00"/>
        <d v="2025-06-01T00:00:00"/>
        <d v="2023-01-19T00:00:00"/>
        <d v="2023-08-23T00:00:00"/>
        <d v="2023-10-21T00:00:00"/>
        <d v="2024-10-13T00:00:00"/>
        <d v="2024-02-25T00:00:00"/>
        <d v="2023-06-14T00:00:00"/>
        <d v="2023-09-14T00:00:00"/>
        <d v="2024-11-21T00:00:00"/>
        <d v="2024-12-29T00:00:00"/>
        <d v="2025-06-22T00:00:00"/>
        <d v="2024-01-10T00:00:00"/>
        <d v="2023-05-29T00:00:00"/>
        <d v="2025-05-29T00:00:00"/>
        <d v="2024-03-31T00:00:00"/>
        <d v="2023-06-05T00:00:00"/>
        <d v="2023-04-26T00:00:00"/>
        <d v="2024-03-10T00:00:00"/>
        <d v="2023-12-02T00:00:00"/>
        <d v="2024-08-10T00:00:00"/>
        <d v="2023-04-12T00:00:00"/>
        <d v="2023-08-08T00:00:00"/>
        <d v="2024-05-10T00:00:00"/>
        <d v="2023-01-10T00:00:00"/>
        <d v="2023-02-19T00:00:00"/>
        <d v="2023-11-15T00:00:00"/>
        <d v="2024-04-04T00:00:00"/>
        <m/>
      </sharedItems>
      <fieldGroup par="22" base="1">
        <rangePr groupBy="months" startDate="2023-01-02T00:00:00" endDate="2025-09-16T00:00:00"/>
        <groupItems count="14">
          <s v="(blank)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6/09/2025"/>
        </groupItems>
      </fieldGroup>
    </cacheField>
    <cacheField name="RequiredDate" numFmtId="168">
      <sharedItems containsNonDate="0" containsDate="1" containsString="0" containsBlank="1" minDate="2023-01-05T00:00:00" maxDate="2025-10-06T00:00:00"/>
    </cacheField>
    <cacheField name="LeadTimeDays" numFmtId="2">
      <sharedItems containsString="0" containsBlank="1" containsNumber="1" containsInteger="1" minValue="-2" maxValue="30"/>
    </cacheField>
    <cacheField name="Quarter" numFmtId="0">
      <sharedItems containsBlank="1"/>
    </cacheField>
    <cacheField name="Region" numFmtId="0">
      <sharedItems containsBlank="1"/>
    </cacheField>
    <cacheField name="Country" numFmtId="0">
      <sharedItems containsBlank="1" count="13">
        <s v="Kenya"/>
        <s v="South Africa"/>
        <s v="Nigeria"/>
        <s v="USA"/>
        <s v="Brazil"/>
        <s v="Canada"/>
        <s v="China"/>
        <s v="India"/>
        <s v="Japan"/>
        <s v="France"/>
        <s v="United Kingdom"/>
        <s v="Germany"/>
        <m/>
      </sharedItems>
    </cacheField>
    <cacheField name="City" numFmtId="0">
      <sharedItems containsBlank="1"/>
    </cacheField>
    <cacheField name="CustomerSegment" numFmtId="0">
      <sharedItems containsBlank="1"/>
    </cacheField>
    <cacheField name="Channel" numFmtId="0">
      <sharedItems containsBlank="1"/>
    </cacheField>
    <cacheField name="Salesperson" numFmtId="0">
      <sharedItems containsBlank="1"/>
    </cacheField>
    <cacheField name="ProductCategory" numFmtId="0">
      <sharedItems containsBlank="1" count="8">
        <s v="Components"/>
        <s v="Networking"/>
        <s v="Phones"/>
        <s v="Monitors"/>
        <s v="Printers"/>
        <s v="Accessories"/>
        <s v="Laptops"/>
        <m/>
      </sharedItems>
    </cacheField>
    <cacheField name="SKU" numFmtId="0">
      <sharedItems containsBlank="1" count="633">
        <s v="CMP-2854"/>
        <s v="NET-5270"/>
        <s v="PHN-7379"/>
        <s v="NET-6036"/>
        <s v="MON-2296"/>
        <s v="PRN-6068"/>
        <s v="CMP-8659"/>
        <s v="ACC-4124"/>
        <s v="ACC-2988"/>
        <s v="ACC-1659"/>
        <s v="ACC-4483"/>
        <s v="CMP-2574"/>
        <s v="PHN-7636"/>
        <s v="NET-9666"/>
        <s v="LAP-3393"/>
        <s v="ACC-5206"/>
        <s v="PHN-8804"/>
        <s v="PHN-6854"/>
        <s v="CMP-8270"/>
        <s v="LAP-6577"/>
        <s v="PHN-8072"/>
        <s v="MON-4789"/>
        <s v="ACC-5334"/>
        <s v="LAP-3904"/>
        <s v="PHN-1671"/>
        <s v="CMP-1559"/>
        <s v="PHN-8891"/>
        <s v="PHN-1234"/>
        <s v="CMP-8101"/>
        <s v="PHN-8014"/>
        <s v="PRN-9322"/>
        <s v="PRN-2641"/>
        <s v="ACC-2252"/>
        <s v="PRN-6276"/>
        <s v="PHN-6866"/>
        <s v="NET-5268"/>
        <s v="PRN-7303"/>
        <s v="LAP-8910"/>
        <s v="PRN-4787"/>
        <s v="PHN-8970"/>
        <s v="MON-2462"/>
        <s v="MON-5517"/>
        <s v="MON-6190"/>
        <s v="LAP-7523"/>
        <s v="CMP-6898"/>
        <s v="LAP-7320"/>
        <s v="PHN-1919"/>
        <s v="PHN-5082"/>
        <s v="NET-2499"/>
        <s v="PRN-2542"/>
        <s v="NET-1412"/>
        <s v="LAP-1989"/>
        <s v="ACC-5177"/>
        <s v="MON-1018"/>
        <s v="MON-7106"/>
        <s v="LAP-7553"/>
        <s v="LAP-1308"/>
        <s v="ACC-9820"/>
        <s v="PHN-2436"/>
        <s v="PRN-7049"/>
        <s v="PHN-4741"/>
        <s v="CMP-3978"/>
        <s v="CMP-4792"/>
        <s v="LAP-1969"/>
        <s v="PHN-5887"/>
        <s v="LAP-3490"/>
        <s v="MON-3504"/>
        <s v="PHN-6832"/>
        <s v="ACC-3961"/>
        <s v="ACC-1028"/>
        <s v="NET-2628"/>
        <s v="LAP-1525"/>
        <s v="CMP-9392"/>
        <s v="MON-4373"/>
        <s v="NET-7966"/>
        <s v="PHN-3971"/>
        <s v="PHN-4556"/>
        <s v="CMP-4531"/>
        <s v="ACC-9445"/>
        <s v="MON-6892"/>
        <s v="NET-3432"/>
        <s v="NET-8856"/>
        <s v="PHN-1670"/>
        <s v="LAP-7819"/>
        <s v="PHN-1784"/>
        <s v="PRN-4732"/>
        <s v="ACC-1238"/>
        <s v="CMP-5208"/>
        <s v="ACC-8178"/>
        <s v="MON-8422"/>
        <s v="CMP-3938"/>
        <s v="LAP-8489"/>
        <s v="LAP-3278"/>
        <s v="PRN-6660"/>
        <s v="PRN-5569"/>
        <s v="MON-8758"/>
        <s v="PRN-1882"/>
        <s v="LAP-9100"/>
        <s v="ACC-2364"/>
        <s v="NET-4241"/>
        <s v="PRN-1654"/>
        <s v="ACC-3349"/>
        <s v="CMP-8230"/>
        <s v="ACC-9533"/>
        <s v="ACC-9038"/>
        <s v="CMP-9001"/>
        <s v="CMP-4630"/>
        <s v="LAP-7099"/>
        <s v="LAP-1739"/>
        <s v="PHN-3819"/>
        <s v="NET-1612"/>
        <s v="PRN-9488"/>
        <s v="LAP-6342"/>
        <s v="MON-1389"/>
        <s v="PRN-3785"/>
        <s v="PRN-4893"/>
        <s v="ACC-2990"/>
        <s v="PRN-3143"/>
        <s v="ACC-7671"/>
        <s v="PHN-7924"/>
        <s v="ACC-4766"/>
        <s v="NET-5018"/>
        <s v="PHN-6954"/>
        <s v="ACC-4056"/>
        <s v="PRN-7089"/>
        <s v="ACC-8999"/>
        <s v="CMP-5911"/>
        <s v="CMP-6529"/>
        <s v="ACC-7354"/>
        <s v="CMP-1470"/>
        <s v="PRN-1141"/>
        <s v="PHN-2337"/>
        <s v="CMP-7063"/>
        <s v="NET-7901"/>
        <s v="ACC-5144"/>
        <s v="LAP-4607"/>
        <s v="LAP-1698"/>
        <s v="LAP-9815"/>
        <s v="ACC-6223"/>
        <s v="ACC-8242"/>
        <s v="CMP-4970"/>
        <s v="CMP-5633"/>
        <s v="NET-5987"/>
        <s v="MON-5891"/>
        <s v="LAP-7136"/>
        <s v="MON-8129"/>
        <s v="PRN-2749"/>
        <s v="LAP-2774"/>
        <s v="PRN-9669"/>
        <s v="NET-5196"/>
        <s v="MON-7099"/>
        <s v="LAP-7353"/>
        <s v="PHN-4356"/>
        <s v="LAP-4932"/>
        <s v="PHN-4644"/>
        <s v="NET-3749"/>
        <s v="ACC-8683"/>
        <s v="ACC-7078"/>
        <s v="PRN-6536"/>
        <s v="MON-7869"/>
        <s v="MON-8867"/>
        <s v="PRN-6490"/>
        <s v="ACC-2903"/>
        <s v="MON-6065"/>
        <s v="CMP-5065"/>
        <s v="PRN-1271"/>
        <s v="MON-4271"/>
        <s v="LAP-4987"/>
        <s v="ACC-1663"/>
        <s v="PHN-7974"/>
        <s v="MON-4361"/>
        <s v="MON-9274"/>
        <s v="CMP-9801"/>
        <s v="CMP-8851"/>
        <s v="MON-6341"/>
        <s v="CMP-3731"/>
        <s v="MON-4925"/>
        <s v="NET-1282"/>
        <s v="ACC-4490"/>
        <s v="LAP-2846"/>
        <s v="CMP-3223"/>
        <s v="ACC-4511"/>
        <s v="NET-4155"/>
        <s v="PHN-2787"/>
        <s v="MON-7868"/>
        <s v="NET-5941"/>
        <s v="CMP-3693"/>
        <s v="PHN-4854"/>
        <s v="NET-3689"/>
        <s v="MON-5259"/>
        <s v="CMP-1632"/>
        <s v="NET-1166"/>
        <s v="PRN-8008"/>
        <s v="PHN-4568"/>
        <s v="CMP-2693"/>
        <s v="PHN-2013"/>
        <s v="PRN-9557"/>
        <s v="PHN-4677"/>
        <s v="NET-9177"/>
        <s v="NET-1816"/>
        <s v="MON-7207"/>
        <s v="NET-4554"/>
        <s v="ACC-3551"/>
        <s v="LAP-9024"/>
        <s v="PRN-4788"/>
        <s v="NET-8610"/>
        <s v="CMP-5946"/>
        <s v="PRN-5591"/>
        <s v="MON-6287"/>
        <s v="ACC-5260"/>
        <s v="LAP-4517"/>
        <s v="LAP-7056"/>
        <s v="PRN-2098"/>
        <s v="PRN-2829"/>
        <s v="PRN-3775"/>
        <s v="ACC-8620"/>
        <s v="CMP-8658"/>
        <s v="ACC-8098"/>
        <s v="CMP-2015"/>
        <s v="LAP-6750"/>
        <s v="NET-3828"/>
        <s v="PRN-9975"/>
        <s v="PHN-1044"/>
        <s v="MON-6882"/>
        <s v="CMP-1223"/>
        <s v="PHN-5366"/>
        <s v="MON-2993"/>
        <s v="ACC-6348"/>
        <s v="PRN-8604"/>
        <s v="PRN-4453"/>
        <s v="LAP-7979"/>
        <s v="MON-3371"/>
        <s v="MON-4317"/>
        <s v="PRN-5384"/>
        <s v="LAP-6160"/>
        <s v="PRN-1276"/>
        <s v="PRN-4906"/>
        <s v="PHN-7132"/>
        <s v="NET-3850"/>
        <s v="PRN-9793"/>
        <s v="PRN-6429"/>
        <s v="PHN-7274"/>
        <s v="CMP-9498"/>
        <s v="ACC-3567"/>
        <s v="MON-6053"/>
        <s v="PRN-6178"/>
        <s v="PRN-9960"/>
        <s v="MON-5424"/>
        <s v="PRN-9249"/>
        <s v="CMP-2136"/>
        <s v="LAP-5763"/>
        <s v="PRN-1371"/>
        <s v="NET-3785"/>
        <s v="ACC-5079"/>
        <s v="PHN-6307"/>
        <s v="ACC-2867"/>
        <s v="PRN-2407"/>
        <s v="LAP-2218"/>
        <s v="PHN-4566"/>
        <s v="LAP-6989"/>
        <s v="NET-5482"/>
        <s v="PHN-2036"/>
        <s v="LAP-8555"/>
        <s v="PHN-3398"/>
        <s v="PHN-8776"/>
        <s v="NET-9125"/>
        <s v="ACC-6777"/>
        <s v="ACC-3415"/>
        <s v="LAP-3581"/>
        <s v="ACC-2386"/>
        <s v="NET-1336"/>
        <s v="CMP-2410"/>
        <s v="PRN-7976"/>
        <s v="MON-3307"/>
        <s v="PRN-8763"/>
        <s v="CMP-7563"/>
        <s v="NET-1228"/>
        <s v="ACC-3951"/>
        <s v="PHN-5445"/>
        <s v="MON-2849"/>
        <s v="PHN-7852"/>
        <s v="NET-1699"/>
        <s v="NET-2894"/>
        <s v="MON-5444"/>
        <s v="NET-5523"/>
        <s v="MON-2828"/>
        <s v="MON-4326"/>
        <s v="MON-5386"/>
        <s v="ACC-6626"/>
        <s v="NET-2394"/>
        <s v="NET-4104"/>
        <s v="ACC-9162"/>
        <s v="NET-6269"/>
        <s v="MON-5179"/>
        <s v="NET-8561"/>
        <s v="PHN-3159"/>
        <s v="CMP-9307"/>
        <s v="CMP-3093"/>
        <s v="MON-9319"/>
        <s v="PHN-6506"/>
        <s v="PRN-9490"/>
        <s v="PHN-3014"/>
        <s v="PRN-6520"/>
        <s v="ACC-1375"/>
        <s v="ACC-1075"/>
        <s v="LAP-8347"/>
        <s v="ACC-4631"/>
        <s v="LAP-1482"/>
        <s v="NET-4675"/>
        <s v="MON-7602"/>
        <s v="NET-8957"/>
        <s v="PRN-8137"/>
        <s v="NET-2062"/>
        <s v="PHN-2859"/>
        <s v="CMP-1555"/>
        <s v="CMP-8196"/>
        <s v="PRN-6131"/>
        <s v="PHN-9184"/>
        <s v="MON-8688"/>
        <s v="ACC-7713"/>
        <s v="PRN-8041"/>
        <s v="LAP-6499"/>
        <s v="ACC-1249"/>
        <s v="ACC-2902"/>
        <s v="CMP-6352"/>
        <s v="ACC-4587"/>
        <s v="PRN-9378"/>
        <s v="MON-9194"/>
        <s v="CMP-6811"/>
        <s v="CMP-7371"/>
        <s v="MON-4830"/>
        <s v="PRN-4097"/>
        <s v="NET-3033"/>
        <s v="ACC-9644"/>
        <s v="PRN-1641"/>
        <s v="NET-6387"/>
        <s v="ACC-3721"/>
        <s v="CMP-1156"/>
        <s v="ACC-9283"/>
        <s v="MON-5749"/>
        <s v="LAP-7009"/>
        <s v="LAP-5531"/>
        <s v="PHN-2875"/>
        <s v="CMP-4807"/>
        <s v="LAP-5150"/>
        <s v="NET-7349"/>
        <s v="PRN-1786"/>
        <s v="LAP-2378"/>
        <s v="CMP-5211"/>
        <s v="PHN-6111"/>
        <s v="NET-7924"/>
        <s v="CMP-6971"/>
        <s v="NET-8329"/>
        <s v="PHN-3800"/>
        <s v="CMP-3743"/>
        <s v="CMP-1220"/>
        <s v="CMP-4610"/>
        <s v="PRN-7816"/>
        <s v="PHN-7815"/>
        <s v="MON-8939"/>
        <s v="ACC-7240"/>
        <s v="CMP-6495"/>
        <s v="CMP-3720"/>
        <s v="PRN-5666"/>
        <s v="LAP-8825"/>
        <s v="CMP-6392"/>
        <s v="CMP-2096"/>
        <s v="PHN-3077"/>
        <s v="ACC-3068"/>
        <s v="PHN-1717"/>
        <s v="CMP-5658"/>
        <s v="ACC-2735"/>
        <s v="PRN-6308"/>
        <s v="PHN-2447"/>
        <s v="PHN-6818"/>
        <s v="MON-1564"/>
        <s v="LAP-2806"/>
        <s v="PRN-8175"/>
        <s v="LAP-8469"/>
        <s v="MON-8629"/>
        <s v="PHN-3854"/>
        <s v="NET-3255"/>
        <s v="PHN-6131"/>
        <s v="CMP-8141"/>
        <s v="NET-1645"/>
        <s v="MON-2266"/>
        <s v="MON-1572"/>
        <s v="LAP-1990"/>
        <s v="NET-9832"/>
        <s v="MON-2998"/>
        <s v="PRN-8850"/>
        <s v="PRN-4506"/>
        <s v="NET-3535"/>
        <s v="NET-1804"/>
        <s v="ACC-1596"/>
        <s v="NET-1893"/>
        <s v="NET-9575"/>
        <s v="MON-2990"/>
        <s v="PHN-4395"/>
        <s v="NET-9569"/>
        <s v="MON-4330"/>
        <s v="ACC-1021"/>
        <s v="MON-5188"/>
        <s v="PHN-7019"/>
        <s v="PRN-5815"/>
        <s v="NET-7998"/>
        <s v="MON-2465"/>
        <s v="LAP-8119"/>
        <s v="ACC-9591"/>
        <s v="MON-5249"/>
        <s v="PHN-1197"/>
        <s v="LAP-3017"/>
        <s v="PRN-2301"/>
        <s v="MON-9906"/>
        <s v="PRN-2991"/>
        <s v="MON-3773"/>
        <s v="PRN-1923"/>
        <s v="CMP-6925"/>
        <s v="PHN-3482"/>
        <s v="MON-9227"/>
        <s v="NET-9835"/>
        <s v="LAP-9016"/>
        <s v="CMP-6649"/>
        <s v="MON-6870"/>
        <s v="PHN-9677"/>
        <s v="PRN-3917"/>
        <s v="CMP-6919"/>
        <s v="PRN-5264"/>
        <s v="PRN-4983"/>
        <s v="NET-6014"/>
        <s v="PRN-1060"/>
        <s v="PHN-4915"/>
        <s v="NET-3728"/>
        <s v="CMP-7055"/>
        <s v="LAP-3905"/>
        <s v="ACC-7047"/>
        <s v="NET-8430"/>
        <s v="NET-7588"/>
        <s v="PRN-9867"/>
        <s v="PHN-9789"/>
        <s v="PHN-9234"/>
        <s v="PHN-5683"/>
        <s v="MON-1436"/>
        <s v="LAP-4483"/>
        <s v="NET-4735"/>
        <s v="PHN-8478"/>
        <s v="PHN-4346"/>
        <s v="CMP-8604"/>
        <s v="MON-1822"/>
        <s v="MON-5086"/>
        <s v="LAP-4828"/>
        <s v="CMP-8390"/>
        <s v="PHN-6480"/>
        <s v="PRN-3014"/>
        <s v="PRN-6585"/>
        <s v="PHN-5675"/>
        <s v="NET-2460"/>
        <s v="CMP-1009"/>
        <s v="LAP-5078"/>
        <s v="CMP-3259"/>
        <s v="PRN-5005"/>
        <s v="LAP-1946"/>
        <s v="NET-1966"/>
        <s v="NET-6578"/>
        <s v="MON-2073"/>
        <s v="PHN-7488"/>
        <s v="NET-1846"/>
        <s v="CMP-5138"/>
        <s v="MON-8973"/>
        <s v="CMP-3875"/>
        <s v="LAP-3604"/>
        <s v="PHN-8368"/>
        <s v="MON-1593"/>
        <s v="LAP-9932"/>
        <s v="PHN-9465"/>
        <s v="PRN-5067"/>
        <s v="ACC-9150"/>
        <s v="CMP-9264"/>
        <s v="CMP-5820"/>
        <s v="ACC-5780"/>
        <s v="LAP-5689"/>
        <s v="NET-9716"/>
        <s v="NET-4228"/>
        <s v="PHN-8483"/>
        <s v="PRN-6791"/>
        <s v="NET-7166"/>
        <s v="NET-5195"/>
        <s v="MON-4215"/>
        <s v="CMP-2335"/>
        <s v="NET-2932"/>
        <s v="MON-7622"/>
        <s v="LAP-2942"/>
        <s v="LAP-9766"/>
        <s v="PRN-4892"/>
        <s v="ACC-5150"/>
        <s v="CMP-7256"/>
        <s v="ACC-3385"/>
        <s v="PHN-8057"/>
        <s v="ACC-1882"/>
        <s v="PRN-2293"/>
        <s v="NET-2365"/>
        <s v="PRN-8392"/>
        <s v="MON-2100"/>
        <s v="CMP-7617"/>
        <s v="LAP-9782"/>
        <s v="LAP-1178"/>
        <s v="MON-1118"/>
        <s v="MON-9733"/>
        <s v="NET-4491"/>
        <s v="PRN-1086"/>
        <s v="PRN-8758"/>
        <s v="PRN-4911"/>
        <s v="PHN-2341"/>
        <s v="PHN-3007"/>
        <s v="PRN-2409"/>
        <s v="PRN-5753"/>
        <s v="MON-9662"/>
        <s v="LAP-3565"/>
        <s v="NET-8787"/>
        <s v="PRN-5876"/>
        <s v="PHN-9399"/>
        <s v="NET-6218"/>
        <s v="ACC-2761"/>
        <s v="PRN-3159"/>
        <s v="LAP-3385"/>
        <s v="PHN-1924"/>
        <s v="MON-1663"/>
        <s v="LAP-8633"/>
        <s v="ACC-7938"/>
        <s v="ACC-5422"/>
        <s v="MON-6962"/>
        <s v="PRN-1725"/>
        <s v="PRN-5492"/>
        <s v="PHN-8350"/>
        <s v="PRN-5813"/>
        <s v="NET-3460"/>
        <s v="ACC-6594"/>
        <s v="NET-5423"/>
        <s v="MON-2842"/>
        <s v="PHN-3803"/>
        <s v="LAP-3220"/>
        <s v="ACC-3989"/>
        <s v="PRN-1504"/>
        <s v="LAP-9901"/>
        <s v="PRN-9624"/>
        <s v="MON-9216"/>
        <s v="ACC-7838"/>
        <s v="PRN-5107"/>
        <s v="CMP-2865"/>
        <s v="PHN-5383"/>
        <s v="ACC-1770"/>
        <s v="CMP-2040"/>
        <s v="NET-2502"/>
        <s v="MON-4959"/>
        <s v="NET-1145"/>
        <s v="LAP-5009"/>
        <s v="NET-8761"/>
        <s v="LAP-9230"/>
        <s v="CMP-3313"/>
        <s v="PRN-4170"/>
        <s v="ACC-4815"/>
        <s v="MON-4195"/>
        <s v="PHN-5938"/>
        <s v="LAP-3779"/>
        <s v="PHN-9107"/>
        <s v="ACC-3103"/>
        <s v="CMP-8127"/>
        <s v="CMP-1072"/>
        <s v="LAP-4666"/>
        <s v="LAP-1619"/>
        <s v="CMP-4093"/>
        <s v="ACC-3645"/>
        <s v="CMP-1940"/>
        <s v="ACC-1492"/>
        <s v="MON-8697"/>
        <s v="PHN-2462"/>
        <s v="CMP-5006"/>
        <s v="MON-5276"/>
        <s v="PRN-8970"/>
        <s v="MON-3350"/>
        <s v="LAP-3679"/>
        <s v="NET-9003"/>
        <s v="CMP-4159"/>
        <s v="ACC-8557"/>
        <s v="MON-7626"/>
        <s v="NET-2439"/>
        <s v="MON-2537"/>
        <s v="PRN-4432"/>
        <s v="PRN-7410"/>
        <s v="MON-7943"/>
        <s v="MON-6310"/>
        <s v="LAP-8214"/>
        <s v="CMP-5825"/>
        <s v="CMP-6346"/>
        <s v="CMP-5311"/>
        <s v="PHN-5316"/>
        <s v="CMP-8675"/>
        <s v="PRN-7019"/>
        <s v="LAP-9931"/>
        <s v="PRN-6776"/>
        <s v="PRN-6911"/>
        <s v="ACC-8094"/>
        <s v="NET-6533"/>
        <s v="CMP-8545"/>
        <s v="PRN-9787"/>
        <s v="NET-9989"/>
        <s v="MON-8651"/>
        <s v="PRN-7079"/>
        <s v="ACC-3833"/>
        <s v="PRN-3690"/>
        <s v="LAP-4899"/>
        <s v="NET-6370"/>
        <s v="CMP-4945"/>
        <s v="CMP-8002"/>
        <s v="MON-4278"/>
        <s v="PRN-1183"/>
        <s v="MON-3043"/>
        <s v="MON-7511"/>
        <s v="LAP-1066"/>
        <s v="LAP-4551"/>
        <s v="ACC-1604"/>
        <s v="ACC-7906"/>
        <s v="MON-3745"/>
        <s v="MON-6699"/>
        <s v="MON-9967"/>
        <s v="PRN-8657"/>
        <s v="ACC-1060"/>
        <s v="ACC-1731"/>
        <s v="ACC-6543"/>
        <s v="CMP-5435"/>
        <m/>
        <s v="average  "/>
        <s v="median"/>
      </sharedItems>
    </cacheField>
    <cacheField name="UnitCost" numFmtId="2">
      <sharedItems containsString="0" containsBlank="1" containsNumber="1" minValue="5.34" maxValue="1495.79"/>
    </cacheField>
    <cacheField name="UnitPrice" numFmtId="2">
      <sharedItems containsString="0" containsBlank="1" containsNumber="1" minValue="4.22" maxValue="3661.07"/>
    </cacheField>
    <cacheField name="DiscountPct" numFmtId="166">
      <sharedItems containsString="0" containsBlank="1" containsNumber="1" minValue="0" maxValue="0.56499999999999995"/>
    </cacheField>
    <cacheField name="Quantity" numFmtId="0">
      <sharedItems containsString="0" containsBlank="1" containsNumber="1" containsInteger="1" minValue="2" maxValue="61"/>
    </cacheField>
    <cacheField name="GrossRevenue" numFmtId="0">
      <sharedItems containsString="0" containsBlank="1" containsNumber="1" minValue="18.659839999999999" maxValue="139277.83032000001"/>
    </cacheField>
    <cacheField name="Cost Of Goods" numFmtId="0">
      <sharedItems containsString="0" containsBlank="1" containsNumber="1" minValue="22" maxValue="83258.290000000008"/>
    </cacheField>
    <cacheField name="Gross Profit" numFmtId="0">
      <sharedItems containsString="0" containsBlank="1" containsNumber="1" minValue="-26976.137999999999" maxValue="65188.659999999996"/>
    </cacheField>
    <cacheField name="MarginPct" numFmtId="0">
      <sharedItems containsString="0" containsBlank="1" containsNumber="1" minValue="-1.090520499332662" maxValue="0.59672531214528945"/>
    </cacheField>
    <cacheField name="Quarters" numFmtId="0" databaseField="0">
      <fieldGroup base="1">
        <rangePr groupBy="quarters" startDate="2023-01-02T00:00:00" endDate="2025-09-16T00:00:00"/>
        <groupItems count="6">
          <s v="&lt;02/01/2023"/>
          <s v="Qtr1"/>
          <s v="Qtr2"/>
          <s v="Qtr3"/>
          <s v="Qtr4"/>
          <s v="&gt;16/09/2025"/>
        </groupItems>
      </fieldGroup>
    </cacheField>
    <cacheField name="Years" numFmtId="0" databaseField="0">
      <fieldGroup base="1">
        <rangePr groupBy="years" startDate="2023-01-02T00:00:00" endDate="2025-09-16T00:00:00"/>
        <groupItems count="5">
          <s v="&lt;02/01/2023"/>
          <s v="2023"/>
          <s v="2024"/>
          <s v="2025"/>
          <s v="&gt;16/0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e" refreshedDate="46047.382335416667" backgroundQuery="1" createdVersion="6" refreshedVersion="6" minRefreshableVersion="3" recordCount="0" supportSubquery="1" supportAdvancedDrill="1" xr:uid="{01423362-7660-4A8B-B8F2-3C0CFD55BAA9}">
  <cacheSource type="external" connectionId="1"/>
  <cacheFields count="5">
    <cacheField name="[Range].[Region].[Region]" caption="Region" numFmtId="0" hierarchy="1" level="1">
      <sharedItems count="4">
        <s v="Africa"/>
        <s v="Americas"/>
        <s v="Asia"/>
        <s v="Europe"/>
      </sharedItems>
    </cacheField>
    <cacheField name="[Measures].[Sum of UnitCost]" caption="Sum of UnitCost" numFmtId="0" hierarchy="19" level="32767"/>
    <cacheField name="[Measures].[Sum of UnitPrice]" caption="Sum of UnitPrice" numFmtId="0" hierarchy="20" level="32767"/>
    <cacheField name="[Measures].[Sum of DiscountPct]" caption="Sum of DiscountPct" numFmtId="0" hierarchy="21" level="32767"/>
    <cacheField name="[Measures].[Sum of Quantity]" caption="Sum of Quantity" numFmtId="0" hierarchy="22" level="32767"/>
  </cacheFields>
  <cacheHierarchies count="23">
    <cacheHierarchy uniqueName="[Range].[RequiredDate]" caption="RequiredDate" attribute="1" time="1" defaultMemberUniqueName="[Range].[RequiredDate].[All]" allUniqueName="[Range].[Required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ustomerSegment]" caption="CustomerSegment" attribute="1" defaultMemberUniqueName="[Range].[CustomerSegment].[All]" allUniqueName="[Range].[CustomerSegmen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ProductCategory]" caption="ProductCategory" attribute="1" defaultMemberUniqueName="[Range].[ProductCategory].[All]" allUniqueName="[Range].[ProductCategory].[All]" dimensionUniqueName="[Range]" displayFolder="" count="0" memberValueDatatype="130" unbalanced="0"/>
    <cacheHierarchy uniqueName="[Range].[SKU]" caption="SKU" attribute="1" defaultMemberUniqueName="[Range].[SKU].[All]" allUniqueName="[Range].[SKU].[All]" dimensionUniqueName="[Range]" displayFolder="" count="0" memberValueDatatype="130" unbalanced="0"/>
    <cacheHierarchy uniqueName="[Range].[UnitCost]" caption="UnitCost" attribute="1" defaultMemberUniqueName="[Range].[UnitCost].[All]" allUniqueName="[Range].[UnitCost].[All]" dimensionUniqueName="[Range]" displayFolder="" count="0" memberValueDatatype="5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DiscountPct]" caption="DiscountPct" attribute="1" defaultMemberUniqueName="[Range].[DiscountPct].[All]" allUniqueName="[Range].[DiscountPc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RequiredDate (Year)]" caption="RequiredDate (Year)" attribute="1" defaultMemberUniqueName="[Range].[RequiredDate (Year)].[All]" allUniqueName="[Range].[RequiredDate (Year)].[All]" dimensionUniqueName="[Range]" displayFolder="" count="0" memberValueDatatype="130" unbalanced="0"/>
    <cacheHierarchy uniqueName="[Range].[RequiredDate (Quarter)]" caption="RequiredDate (Quarter)" attribute="1" defaultMemberUniqueName="[Range].[RequiredDate (Quarter)].[All]" allUniqueName="[Range].[RequiredDate (Quarter)].[All]" dimensionUniqueName="[Range]" displayFolder="" count="0" memberValueDatatype="130" unbalanced="0"/>
    <cacheHierarchy uniqueName="[Range].[RequiredDate (Month)]" caption="RequiredDate (Month)" attribute="1" defaultMemberUniqueName="[Range].[RequiredDate (Month)].[All]" allUniqueName="[Range].[RequiredDate (Month)].[All]" dimensionUniqueName="[Range]" displayFolder="" count="0" memberValueDatatype="130" unbalanced="0"/>
    <cacheHierarchy uniqueName="[Range].[RequiredDate (Month Index)]" caption="RequiredDate (Month Index)" attribute="1" defaultMemberUniqueName="[Range].[RequiredDate (Month Index)].[All]" allUniqueName="[Range].[Required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UnitCost]" caption="Sum of UnitCos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UnitPrice]" caption="Sum of UnitPric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Pct]" caption="Sum of DiscountPct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]" caption="Sum of Quantity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s v="ORD-2025-863978"/>
    <x v="0"/>
    <d v="2025-08-19T00:00:00"/>
    <n v="12"/>
    <s v="QUARTER 3"/>
    <s v="Africa"/>
    <x v="0"/>
    <s v="Nakuru"/>
    <s v="Corporate"/>
    <s v="Retail"/>
    <s v="M. Rossi"/>
    <x v="0"/>
    <x v="0"/>
    <n v="601.51"/>
    <n v="679.35"/>
    <n v="0.188"/>
    <n v="3"/>
    <n v="1654.8966000000003"/>
    <n v="1804.53"/>
    <n v="-149.63339999999971"/>
    <n v="-9.0418579626062243E-2"/>
  </r>
  <r>
    <s v="ORD-2025-496178"/>
    <x v="1"/>
    <d v="2025-04-19T00:00:00"/>
    <n v="9"/>
    <s v="QUARTER 2"/>
    <s v="Africa"/>
    <x v="1"/>
    <s v="Durban"/>
    <s v="Enterprise"/>
    <s v="Retail"/>
    <s v="G. Dubois"/>
    <x v="1"/>
    <x v="1"/>
    <n v="113.74"/>
    <n v="165.7"/>
    <n v="0.124"/>
    <n v="13"/>
    <n v="1886.9915999999998"/>
    <n v="1478.62"/>
    <n v="408.37159999999994"/>
    <n v="0.21641410592394794"/>
  </r>
  <r>
    <s v="ORD-2024-266562"/>
    <x v="2"/>
    <d v="2025-06-21T00:00:00"/>
    <n v="2"/>
    <s v="QUARTER 2"/>
    <s v="Africa"/>
    <x v="1"/>
    <s v="Johannesburg"/>
    <s v="Small Business"/>
    <s v="Distributor"/>
    <s v="H. Kim"/>
    <x v="2"/>
    <x v="2"/>
    <n v="1466.27"/>
    <n v="3589.89"/>
    <n v="9.7000000000000003E-2"/>
    <n v="9"/>
    <n v="29175.036029999999"/>
    <n v="13196.43"/>
    <n v="15978.606029999999"/>
    <n v="0.54768076425234147"/>
  </r>
  <r>
    <s v="ORD-2025-964661"/>
    <x v="3"/>
    <d v="2023-02-03T00:00:00"/>
    <n v="14"/>
    <s v="QUARTER 1"/>
    <s v="Africa"/>
    <x v="0"/>
    <s v="Kisumu"/>
    <s v="Corporate"/>
    <s v="Distributor"/>
    <s v="M. Rossi"/>
    <x v="1"/>
    <x v="3"/>
    <n v="884.36"/>
    <n v="1545.34"/>
    <n v="0.24299999999999999"/>
    <n v="41"/>
    <n v="47962.717579999997"/>
    <n v="36258.76"/>
    <n v="11703.957579999995"/>
    <n v="0.24402198562827965"/>
  </r>
  <r>
    <s v="ORD-2023-749324"/>
    <x v="4"/>
    <d v="2023-09-07T00:00:00"/>
    <n v="19"/>
    <s v="QUARTER 3"/>
    <s v="Africa"/>
    <x v="1"/>
    <s v="Johannesburg"/>
    <s v="Enterprise"/>
    <s v="Marketplace"/>
    <s v="D. Smith"/>
    <x v="3"/>
    <x v="4"/>
    <n v="494.61"/>
    <n v="605.23"/>
    <n v="0.20399999999999999"/>
    <n v="18"/>
    <n v="8671.7354400000004"/>
    <n v="8902.98"/>
    <n v="-231.24455999999918"/>
    <n v="-2.6666468505639647E-2"/>
  </r>
  <r>
    <s v="ORD-2025-629393"/>
    <x v="5"/>
    <d v="2024-10-07T00:00:00"/>
    <n v="27"/>
    <s v="QUARTER 3"/>
    <s v="Africa"/>
    <x v="0"/>
    <s v="Kisumu"/>
    <s v="Consumer"/>
    <s v="Online"/>
    <s v="L. Okafor"/>
    <x v="4"/>
    <x v="5"/>
    <n v="1248.3900000000001"/>
    <n v="1805.11"/>
    <n v="0.20300000000000001"/>
    <n v="11"/>
    <n v="15825.399369999997"/>
    <n v="13732.29"/>
    <n v="2093.1093699999965"/>
    <n v="0.13226265707820786"/>
  </r>
  <r>
    <s v="ORD-2025-922513"/>
    <x v="6"/>
    <d v="2023-08-10T00:00:00"/>
    <n v="23"/>
    <s v="QUARTER 3"/>
    <s v="Africa"/>
    <x v="1"/>
    <s v="Johannesburg"/>
    <s v="Small Business"/>
    <s v="Marketplace"/>
    <s v="L. Okafor"/>
    <x v="0"/>
    <x v="6"/>
    <n v="1271.56"/>
    <n v="995.47"/>
    <n v="0.192"/>
    <n v="13"/>
    <n v="10456.416880000001"/>
    <n v="16530.28"/>
    <n v="-6073.8631199999982"/>
    <n v="-0.58087423155607754"/>
  </r>
  <r>
    <s v="ORD-2023-842488"/>
    <x v="7"/>
    <d v="2023-11-02T00:00:00"/>
    <n v="2"/>
    <s v="QUARTER 4"/>
    <s v="Africa"/>
    <x v="0"/>
    <s v="Kisumu"/>
    <s v="Education"/>
    <s v="Distributor"/>
    <s v="O. Wang"/>
    <x v="5"/>
    <x v="7"/>
    <n v="867.89"/>
    <n v="1349.94"/>
    <n v="0.184"/>
    <n v="10"/>
    <n v="11015.510400000003"/>
    <n v="8678.9"/>
    <n v="2336.6104000000032"/>
    <n v="0.21212003031652557"/>
  </r>
  <r>
    <s v="ORD-2024-819979"/>
    <x v="8"/>
    <d v="2023-04-15T00:00:00"/>
    <n v="23"/>
    <s v="QUARTER 1"/>
    <s v="Africa"/>
    <x v="0"/>
    <s v="Mombasa"/>
    <s v="Small Business"/>
    <s v="Direct"/>
    <s v="C. Otieno"/>
    <x v="5"/>
    <x v="8"/>
    <n v="875.36"/>
    <n v="1178.6199999999999"/>
    <n v="0.151"/>
    <n v="53"/>
    <n v="53034.364139999991"/>
    <n v="46394.080000000002"/>
    <n v="6640.2841399999888"/>
    <n v="0.12520719815685888"/>
  </r>
  <r>
    <s v="ORD-2024-687100"/>
    <x v="9"/>
    <d v="2025-02-14T00:00:00"/>
    <n v="24"/>
    <s v="QUARTER 1"/>
    <s v="Africa"/>
    <x v="0"/>
    <s v="Nairobi"/>
    <s v="Small Business"/>
    <s v="Marketplace"/>
    <s v="J. Njeri"/>
    <x v="5"/>
    <x v="9"/>
    <n v="1030.44"/>
    <n v="2562.84"/>
    <n v="0.14799999999999999"/>
    <n v="13"/>
    <n v="28386.015839999996"/>
    <n v="13395.720000000001"/>
    <n v="14990.295839999995"/>
    <n v="0.52808734852027039"/>
  </r>
  <r>
    <s v="ORD-2025-752845"/>
    <x v="10"/>
    <d v="2025-08-26T00:00:00"/>
    <n v="-2"/>
    <s v="QUARTER 3"/>
    <s v="Africa"/>
    <x v="2"/>
    <s v="Port Harcourt"/>
    <s v="Small Business"/>
    <s v="Retail"/>
    <s v="A. Patel"/>
    <x v="5"/>
    <x v="10"/>
    <n v="521.05999999999995"/>
    <n v="1240.31"/>
    <n v="0.14599999999999999"/>
    <n v="18"/>
    <n v="19066.045319999997"/>
    <n v="9379.0799999999981"/>
    <n v="9686.9653199999993"/>
    <n v="0.50807417885650974"/>
  </r>
  <r>
    <s v="ORD-2025-636162"/>
    <x v="11"/>
    <d v="2023-04-04T00:00:00"/>
    <n v="22"/>
    <s v="QUARTER 1"/>
    <s v="Africa"/>
    <x v="1"/>
    <s v="Durban"/>
    <s v="Small Business"/>
    <s v="Distributor"/>
    <s v="A. Patel"/>
    <x v="0"/>
    <x v="11"/>
    <n v="1113.7"/>
    <n v="1620.6"/>
    <n v="0.13900000000000001"/>
    <n v="11"/>
    <n v="15348.702599999999"/>
    <n v="12250.7"/>
    <n v="3098.002599999998"/>
    <n v="0.20184133348182787"/>
  </r>
  <r>
    <s v="ORD-2023-244375"/>
    <x v="12"/>
    <d v="2025-08-03T00:00:00"/>
    <n v="23"/>
    <s v="QUARTER 3"/>
    <s v="Africa"/>
    <x v="0"/>
    <s v="Nakuru"/>
    <s v="Small Business"/>
    <s v="Direct"/>
    <s v="C. Otieno"/>
    <x v="2"/>
    <x v="12"/>
    <n v="389.93"/>
    <n v="486.13"/>
    <n v="0.13200000000000001"/>
    <n v="17"/>
    <n v="7173.3342799999991"/>
    <n v="6628.81"/>
    <n v="544.52427999999873"/>
    <n v="7.5909508569562828E-2"/>
  </r>
  <r>
    <s v="ORD-2023-373538"/>
    <x v="13"/>
    <d v="2023-03-25T00:00:00"/>
    <n v="25"/>
    <s v="QUARTER 1"/>
    <s v="Africa"/>
    <x v="0"/>
    <s v="Nairobi"/>
    <s v="Corporate"/>
    <s v="Online"/>
    <s v="I. Johnson"/>
    <x v="1"/>
    <x v="13"/>
    <n v="1460.76"/>
    <n v="804.09"/>
    <n v="0.13100000000000001"/>
    <n v="12"/>
    <n v="8385.0505200000007"/>
    <n v="17529.12"/>
    <n v="-9144.0694799999983"/>
    <n v="-1.090520499332662"/>
  </r>
  <r>
    <s v="ORD-2023-480975"/>
    <x v="14"/>
    <d v="2023-02-26T00:00:00"/>
    <n v="11"/>
    <s v="QUARTER 1"/>
    <s v="Africa"/>
    <x v="1"/>
    <s v="Johannesburg"/>
    <s v="Non-Profit"/>
    <s v="Distributor"/>
    <s v="K. Singh"/>
    <x v="6"/>
    <x v="14"/>
    <n v="498.5"/>
    <n v="755.87"/>
    <n v="0.13"/>
    <n v="40"/>
    <n v="26304.275999999998"/>
    <n v="19940"/>
    <n v="6364.275999999998"/>
    <n v="0.24194834330357537"/>
  </r>
  <r>
    <s v="ORD-2024-356812"/>
    <x v="15"/>
    <d v="2023-06-15T00:00:00"/>
    <n v="29"/>
    <s v="QUARTER 2"/>
    <s v="Africa"/>
    <x v="1"/>
    <s v="Durban"/>
    <s v="Enterprise"/>
    <s v="Marketplace"/>
    <s v="K. Singh"/>
    <x v="5"/>
    <x v="15"/>
    <n v="40.89"/>
    <n v="62.82"/>
    <n v="0.129"/>
    <n v="17"/>
    <n v="930.17574000000002"/>
    <n v="695.13"/>
    <n v="235.04574000000002"/>
    <n v="0.25268960465470752"/>
  </r>
  <r>
    <s v="ORD-2025-132174"/>
    <x v="16"/>
    <d v="2024-10-02T00:00:00"/>
    <n v="19"/>
    <s v="QUARTER 3"/>
    <s v="Africa"/>
    <x v="0"/>
    <s v="Mombasa"/>
    <s v="Small Business"/>
    <s v="Online"/>
    <s v="M. Rossi"/>
    <x v="2"/>
    <x v="16"/>
    <n v="1338.99"/>
    <n v="1765.76"/>
    <n v="0.126"/>
    <n v="24"/>
    <n v="37038.581760000001"/>
    <n v="32135.760000000002"/>
    <n v="4902.8217599999989"/>
    <n v="0.1323706666677725"/>
  </r>
  <r>
    <s v="ORD-2024-855073"/>
    <x v="17"/>
    <d v="2024-07-19T00:00:00"/>
    <n v="0"/>
    <s v="QUARTER 3"/>
    <s v="Africa"/>
    <x v="0"/>
    <s v="Kisumu"/>
    <s v="Small Business"/>
    <s v="Direct"/>
    <s v="A. Patel"/>
    <x v="2"/>
    <x v="17"/>
    <n v="857.24"/>
    <n v="758.23"/>
    <n v="0.125"/>
    <n v="6"/>
    <n v="3980.7075"/>
    <n v="5143.4400000000005"/>
    <n v="-1162.7325000000005"/>
    <n v="-0.29209192084572921"/>
  </r>
  <r>
    <s v="ORD-2024-275203"/>
    <x v="18"/>
    <d v="2024-04-06T00:00:00"/>
    <n v="26"/>
    <s v="QUARTER 1"/>
    <s v="Africa"/>
    <x v="0"/>
    <s v="Kisumu"/>
    <s v="Corporate"/>
    <s v="Retail"/>
    <s v="C. Otieno"/>
    <x v="0"/>
    <x v="18"/>
    <n v="279.24"/>
    <n v="608.9"/>
    <n v="0.112"/>
    <n v="9"/>
    <n v="4866.3287999999993"/>
    <n v="2513.16"/>
    <n v="2353.1687999999995"/>
    <n v="0.48356140670149533"/>
  </r>
  <r>
    <s v="ORD-2025-705398"/>
    <x v="19"/>
    <d v="2024-07-21T00:00:00"/>
    <n v="21"/>
    <s v="QUARTER 2"/>
    <s v="Africa"/>
    <x v="0"/>
    <s v="Kisumu"/>
    <s v="Small Business"/>
    <s v="Direct"/>
    <s v="K. Singh"/>
    <x v="6"/>
    <x v="19"/>
    <n v="753.43"/>
    <n v="1787.2"/>
    <n v="7.2999999999999995E-2"/>
    <n v="9"/>
    <n v="14910.609600000002"/>
    <n v="6780.87"/>
    <n v="8129.7396000000017"/>
    <n v="0.54523187301476939"/>
  </r>
  <r>
    <s v="ORD-2025-312803"/>
    <x v="20"/>
    <d v="2023-09-03T00:00:00"/>
    <n v="17"/>
    <s v="QUARTER 3"/>
    <s v="Africa"/>
    <x v="1"/>
    <s v="Durban"/>
    <s v="Enterprise"/>
    <s v="Retail"/>
    <s v="A. Patel"/>
    <x v="2"/>
    <x v="20"/>
    <n v="676.37"/>
    <n v="1276.67"/>
    <n v="6.6000000000000003E-2"/>
    <n v="10"/>
    <n v="11924.0978"/>
    <n v="6763.7"/>
    <n v="5160.3977999999997"/>
    <n v="0.4327705027712872"/>
  </r>
  <r>
    <s v="ORD-2024-581530"/>
    <x v="21"/>
    <d v="2024-12-19T00:00:00"/>
    <n v="9"/>
    <s v="QUARTER 4"/>
    <s v="Africa"/>
    <x v="2"/>
    <s v="Lagos"/>
    <s v="Corporate"/>
    <s v="Marketplace"/>
    <s v="O. Wang"/>
    <x v="3"/>
    <x v="21"/>
    <n v="488.68"/>
    <n v="984.36"/>
    <n v="5.8999999999999997E-2"/>
    <n v="14"/>
    <n v="12967.958640000001"/>
    <n v="6841.52"/>
    <n v="6126.4386400000003"/>
    <n v="0.47242891576649876"/>
  </r>
  <r>
    <s v="ORD-2024-915495"/>
    <x v="22"/>
    <d v="2023-07-14T00:00:00"/>
    <n v="0"/>
    <s v="QUARTER 3"/>
    <s v="Africa"/>
    <x v="2"/>
    <s v="Lagos"/>
    <s v="Education"/>
    <s v="Direct"/>
    <s v="I. Johnson"/>
    <x v="5"/>
    <x v="22"/>
    <n v="956.38"/>
    <n v="1454.22"/>
    <n v="3.9E-2"/>
    <n v="19"/>
    <n v="26552.60298"/>
    <n v="18171.22"/>
    <n v="8381.3829799999985"/>
    <n v="0.31565202802576603"/>
  </r>
  <r>
    <s v="ORD-2024-343877"/>
    <x v="23"/>
    <d v="2023-07-08T00:00:00"/>
    <n v="7"/>
    <s v="QUARTER 3"/>
    <s v="Africa"/>
    <x v="2"/>
    <s v="Port Harcourt"/>
    <s v="Corporate"/>
    <s v="Direct"/>
    <s v="A. Patel"/>
    <x v="6"/>
    <x v="23"/>
    <n v="834.26"/>
    <n v="1780.56"/>
    <n v="1.4E-2"/>
    <n v="47"/>
    <n v="82514.711519999997"/>
    <n v="39210.22"/>
    <n v="43304.491519999996"/>
    <n v="0.5248093427497933"/>
  </r>
  <r>
    <s v="ORD-2023-653343"/>
    <x v="24"/>
    <d v="2025-02-06T00:00:00"/>
    <n v="8"/>
    <s v="QUARTER 1"/>
    <s v="Africa"/>
    <x v="0"/>
    <s v="Kisumu"/>
    <s v="Education"/>
    <s v="Online"/>
    <s v="B. Chen"/>
    <x v="2"/>
    <x v="24"/>
    <n v="1445.27"/>
    <n v="2691.45"/>
    <n v="0"/>
    <n v="9"/>
    <n v="24223.05"/>
    <n v="13007.43"/>
    <n v="11215.619999999999"/>
    <n v="0.46301436028906351"/>
  </r>
  <r>
    <s v="ORD-2024-167215"/>
    <x v="25"/>
    <d v="2024-08-21T00:00:00"/>
    <n v="-2"/>
    <s v="QUARTER 3"/>
    <s v="Africa"/>
    <x v="1"/>
    <s v="Johannesburg"/>
    <s v="Education"/>
    <s v="Online"/>
    <s v="E. Garcia"/>
    <x v="0"/>
    <x v="25"/>
    <n v="1432.52"/>
    <n v="3036.87"/>
    <n v="0"/>
    <n v="9"/>
    <n v="27331.829999999998"/>
    <n v="12892.68"/>
    <n v="14439.149999999998"/>
    <n v="0.52829064135112791"/>
  </r>
  <r>
    <s v="ORD-2024-972318"/>
    <x v="26"/>
    <d v="2023-10-20T00:00:00"/>
    <n v="2"/>
    <s v="QUARTER 4"/>
    <s v="Africa"/>
    <x v="0"/>
    <s v="Kisumu"/>
    <s v="Consumer"/>
    <s v="Direct"/>
    <s v="J. Njeri"/>
    <x v="2"/>
    <x v="26"/>
    <n v="774.12"/>
    <n v="908.3"/>
    <n v="0"/>
    <n v="30"/>
    <n v="27249"/>
    <n v="23223.599999999999"/>
    <n v="4025.4000000000015"/>
    <n v="0.14772652207420461"/>
  </r>
  <r>
    <s v="ORD-2025-983096"/>
    <x v="27"/>
    <d v="2023-08-25T00:00:00"/>
    <n v="10"/>
    <s v="QUARTER 3"/>
    <s v="Africa"/>
    <x v="0"/>
    <s v="Nairobi"/>
    <s v="Small Business"/>
    <s v="Distributor"/>
    <s v="N. Brown"/>
    <x v="2"/>
    <x v="27"/>
    <n v="91.85"/>
    <n v="111.29"/>
    <n v="0"/>
    <n v="6"/>
    <n v="667.74"/>
    <n v="551.09999999999991"/>
    <n v="116.6400000000001"/>
    <n v="0.17467876718483258"/>
  </r>
  <r>
    <s v="ORD-2024-155337"/>
    <x v="28"/>
    <d v="2024-05-27T00:00:00"/>
    <n v="6"/>
    <s v="QUARTER 2"/>
    <s v="Africa"/>
    <x v="1"/>
    <s v="Johannesburg"/>
    <s v="Non-Profit"/>
    <s v="Direct"/>
    <s v="M. Rossi"/>
    <x v="0"/>
    <x v="28"/>
    <n v="1157.51"/>
    <n v="1394.3"/>
    <n v="0.27800000000000002"/>
    <n v="12"/>
    <n v="12080.215199999999"/>
    <n v="13890.119999999999"/>
    <n v="-1809.9048000000003"/>
    <n v="-0.14982388724333326"/>
  </r>
  <r>
    <s v="ORD-2023-613287"/>
    <x v="29"/>
    <d v="2023-04-12T00:00:00"/>
    <n v="12"/>
    <s v="QUARTER 1"/>
    <s v="Africa"/>
    <x v="0"/>
    <s v="Mombasa"/>
    <s v="Small Business"/>
    <s v="Direct"/>
    <s v="C. Otieno"/>
    <x v="2"/>
    <x v="29"/>
    <n v="304.22000000000003"/>
    <n v="393.31"/>
    <n v="0.26500000000000001"/>
    <n v="15"/>
    <n v="4336.2427499999994"/>
    <n v="4563.3"/>
    <n v="-227.05725000000075"/>
    <n v="-5.2362670424759034E-2"/>
  </r>
  <r>
    <s v="ORD-2024-358795"/>
    <x v="30"/>
    <d v="2024-10-22T00:00:00"/>
    <n v="-1"/>
    <s v="QUARTER 4"/>
    <s v="Africa"/>
    <x v="2"/>
    <s v="Port Harcourt"/>
    <s v="Education"/>
    <s v="Direct"/>
    <s v="J. Njeri"/>
    <x v="4"/>
    <x v="30"/>
    <n v="1084.3900000000001"/>
    <n v="759.33"/>
    <n v="0.23699999999999999"/>
    <n v="31"/>
    <n v="17960.432489999999"/>
    <n v="33616.090000000004"/>
    <n v="-15655.657510000005"/>
    <n v="-0.87167486187856302"/>
  </r>
  <r>
    <s v="ORD-2025-460466"/>
    <x v="31"/>
    <d v="2024-04-27T00:00:00"/>
    <n v="11"/>
    <s v="QUARTER 2"/>
    <s v="Africa"/>
    <x v="0"/>
    <s v="Nakuru"/>
    <s v="Enterprise"/>
    <s v="Online"/>
    <s v="D. Smith"/>
    <x v="4"/>
    <x v="31"/>
    <n v="401.3"/>
    <n v="826.47"/>
    <n v="0.22500000000000001"/>
    <n v="13"/>
    <n v="8326.6852500000005"/>
    <n v="5216.9000000000005"/>
    <n v="3109.7852499999999"/>
    <n v="0.37347217489696755"/>
  </r>
  <r>
    <s v="ORD-2025-762301"/>
    <x v="32"/>
    <d v="2025-05-13T00:00:00"/>
    <n v="11"/>
    <s v="QUARTER 2"/>
    <s v="Africa"/>
    <x v="0"/>
    <s v="Nakuru"/>
    <s v="Small Business"/>
    <s v="Marketplace"/>
    <s v="A. Patel"/>
    <x v="5"/>
    <x v="32"/>
    <n v="1057.5999999999999"/>
    <n v="1437.06"/>
    <n v="0.20499999999999999"/>
    <n v="4"/>
    <n v="4569.8508000000002"/>
    <n v="4230.3999999999996"/>
    <n v="339.45080000000053"/>
    <n v="7.4280499485891424E-2"/>
  </r>
  <r>
    <s v="ORD-2023-112666"/>
    <x v="33"/>
    <d v="2023-01-13T00:00:00"/>
    <n v="-2"/>
    <s v="QUARTER 1"/>
    <s v="Africa"/>
    <x v="2"/>
    <s v="Abuja"/>
    <s v="Education"/>
    <s v="Online"/>
    <s v="O. Wang"/>
    <x v="4"/>
    <x v="33"/>
    <n v="28.38"/>
    <n v="47.22"/>
    <n v="0.19400000000000001"/>
    <n v="18"/>
    <n v="685.06776000000002"/>
    <n v="510.84"/>
    <n v="174.22776000000005"/>
    <n v="0.25432193743871417"/>
  </r>
  <r>
    <s v="ORD-2025-624006"/>
    <x v="34"/>
    <d v="2024-06-15T00:00:00"/>
    <n v="13"/>
    <s v="QUARTER 2"/>
    <s v="Africa"/>
    <x v="0"/>
    <s v="Mombasa"/>
    <s v="Education"/>
    <s v="Online"/>
    <s v="O. Wang"/>
    <x v="2"/>
    <x v="34"/>
    <n v="1295.18"/>
    <n v="3024.03"/>
    <n v="0.192"/>
    <n v="8"/>
    <n v="19547.329920000004"/>
    <n v="10361.44"/>
    <n v="9185.8899200000033"/>
    <n v="0.46993067378483178"/>
  </r>
  <r>
    <s v="ORD-2024-966651"/>
    <x v="35"/>
    <d v="2024-11-08T00:00:00"/>
    <n v="25"/>
    <s v="QUARTER 4"/>
    <s v="Africa"/>
    <x v="2"/>
    <s v="Lagos"/>
    <s v="Enterprise"/>
    <s v="Online"/>
    <s v="O. Wang"/>
    <x v="1"/>
    <x v="35"/>
    <n v="859.35"/>
    <n v="1825.61"/>
    <n v="0.187"/>
    <n v="24"/>
    <n v="35621.302319999995"/>
    <n v="20624.400000000001"/>
    <n v="14996.902319999994"/>
    <n v="0.42100937762681989"/>
  </r>
  <r>
    <s v="ORD-2024-599522"/>
    <x v="36"/>
    <d v="2024-05-06T00:00:00"/>
    <n v="17"/>
    <s v="QUARTER 2"/>
    <s v="Africa"/>
    <x v="2"/>
    <s v="Port Harcourt"/>
    <s v="Non-Profit"/>
    <s v="Retail"/>
    <s v="A. Patel"/>
    <x v="4"/>
    <x v="36"/>
    <n v="865.33"/>
    <n v="1395.64"/>
    <n v="0.17499999999999999"/>
    <n v="13"/>
    <n v="14968.239"/>
    <n v="11249.29"/>
    <n v="3718.9489999999987"/>
    <n v="0.24845601409758347"/>
  </r>
  <r>
    <s v="ORD-2025-831576"/>
    <x v="37"/>
    <d v="2025-07-06T00:00:00"/>
    <n v="3"/>
    <s v="QUARTER 3"/>
    <s v="Africa"/>
    <x v="2"/>
    <s v="Lagos"/>
    <s v="Consumer"/>
    <s v="Distributor"/>
    <s v="Unknown"/>
    <x v="6"/>
    <x v="37"/>
    <n v="1313.3"/>
    <n v="2884.34"/>
    <n v="0.157"/>
    <n v="42"/>
    <n v="102122.94203999999"/>
    <n v="55158.6"/>
    <n v="46964.342039999996"/>
    <n v="0.45988042551305253"/>
  </r>
  <r>
    <s v="ORD-2025-683247"/>
    <x v="38"/>
    <d v="2023-01-30T00:00:00"/>
    <n v="23"/>
    <s v="QUARTER 1"/>
    <s v="Africa"/>
    <x v="1"/>
    <s v="Cape Town"/>
    <s v="Consumer"/>
    <s v="Online"/>
    <s v="A. Patel"/>
    <x v="4"/>
    <x v="38"/>
    <n v="299.02"/>
    <n v="724.7"/>
    <n v="0.14000000000000001"/>
    <n v="5"/>
    <n v="3116.21"/>
    <n v="1495.1"/>
    <n v="1621.1100000000001"/>
    <n v="0.52021847051386139"/>
  </r>
  <r>
    <s v="ORD-2023-251563"/>
    <x v="39"/>
    <d v="2023-06-07T00:00:00"/>
    <n v="27"/>
    <s v="QUARTER 2"/>
    <s v="Africa"/>
    <x v="0"/>
    <s v="Mombasa"/>
    <s v="Corporate"/>
    <s v="Direct"/>
    <s v="J. Njeri"/>
    <x v="2"/>
    <x v="39"/>
    <n v="12.85"/>
    <n v="15.41"/>
    <n v="0.13700000000000001"/>
    <n v="39"/>
    <n v="518.65436999999997"/>
    <n v="501.15"/>
    <n v="17.504369999999994"/>
    <n v="3.3749585489851353E-2"/>
  </r>
  <r>
    <s v="ORD-2025-683043"/>
    <x v="40"/>
    <d v="2024-02-28T00:00:00"/>
    <n v="22"/>
    <s v="QUARTER 1"/>
    <s v="Africa"/>
    <x v="0"/>
    <s v="Kisumu"/>
    <s v="Non-Profit"/>
    <s v="Distributor"/>
    <s v="K. Singh"/>
    <x v="3"/>
    <x v="40"/>
    <n v="834.93"/>
    <n v="1588.53"/>
    <n v="0.126"/>
    <n v="6"/>
    <n v="8330.2513199999994"/>
    <n v="5009.58"/>
    <n v="3320.6713199999995"/>
    <n v="0.39862798761274343"/>
  </r>
  <r>
    <s v="ORD-2023-334213"/>
    <x v="4"/>
    <d v="2023-08-23T00:00:00"/>
    <n v="4"/>
    <s v="QUARTER 3"/>
    <s v="Africa"/>
    <x v="2"/>
    <s v="Abuja"/>
    <s v="Small Business"/>
    <s v="Retail"/>
    <s v="J. Njeri"/>
    <x v="3"/>
    <x v="41"/>
    <n v="790.63"/>
    <n v="1382.31"/>
    <n v="0.10100000000000001"/>
    <n v="7"/>
    <n v="8698.8768300000011"/>
    <n v="5534.41"/>
    <n v="3164.4668300000012"/>
    <n v="0.36377878338116448"/>
  </r>
  <r>
    <s v="ORD-2024-206311"/>
    <x v="41"/>
    <d v="2024-05-10T00:00:00"/>
    <n v="16"/>
    <s v="QUARTER 2"/>
    <s v="Africa"/>
    <x v="0"/>
    <s v="Kisumu"/>
    <s v="Non-Profit"/>
    <s v="Direct"/>
    <s v="N. Brown"/>
    <x v="3"/>
    <x v="42"/>
    <n v="513.30999999999995"/>
    <n v="1186.26"/>
    <n v="9.4E-2"/>
    <n v="15"/>
    <n v="16121.273400000002"/>
    <n v="7699.65"/>
    <n v="8421.6234000000022"/>
    <n v="0.52239194702820446"/>
  </r>
  <r>
    <s v="ORD-2024-766980"/>
    <x v="42"/>
    <d v="2025-07-11T00:00:00"/>
    <n v="15"/>
    <s v="QUARTER 2"/>
    <s v="Africa"/>
    <x v="2"/>
    <s v="Port Harcourt"/>
    <s v="Small Business"/>
    <s v="Distributor"/>
    <s v="A. Patel"/>
    <x v="6"/>
    <x v="43"/>
    <n v="1170.1500000000001"/>
    <n v="2115.19"/>
    <n v="9.1999999999999998E-2"/>
    <n v="23"/>
    <n v="44173.627960000005"/>
    <n v="26913.45"/>
    <n v="17260.177960000005"/>
    <n v="0.39073489674946776"/>
  </r>
  <r>
    <s v="ORD-2024-972999"/>
    <x v="43"/>
    <d v="2025-09-23T00:00:00"/>
    <n v="9"/>
    <s v="QUARTER 3"/>
    <s v="Africa"/>
    <x v="1"/>
    <s v="Durban"/>
    <s v="Non-Profit"/>
    <s v="Retail"/>
    <s v="D. Smith"/>
    <x v="0"/>
    <x v="44"/>
    <n v="1310.3"/>
    <n v="2875.8"/>
    <n v="8.3000000000000004E-2"/>
    <n v="5"/>
    <n v="13185.543"/>
    <n v="6551.5"/>
    <n v="6634.0429999999997"/>
    <n v="0.50313005691157353"/>
  </r>
  <r>
    <s v="ORD-2025-485946"/>
    <x v="44"/>
    <d v="2023-11-05T00:00:00"/>
    <n v="10"/>
    <s v="QUARTER 4"/>
    <s v="Africa"/>
    <x v="1"/>
    <s v="Cape Town"/>
    <s v="Non-Profit"/>
    <s v="Online"/>
    <s v="I. Johnson"/>
    <x v="6"/>
    <x v="45"/>
    <n v="20.38"/>
    <n v="42.56"/>
    <n v="7.1999999999999995E-2"/>
    <n v="11"/>
    <n v="434.45248000000004"/>
    <n v="224.17999999999998"/>
    <n v="210.27248000000006"/>
    <n v="0.48399419885921713"/>
  </r>
  <r>
    <s v="ORD-2023-356427"/>
    <x v="45"/>
    <d v="2024-12-19T00:00:00"/>
    <n v="19"/>
    <s v="QUARTER 4"/>
    <s v="Africa"/>
    <x v="0"/>
    <s v="Kisumu"/>
    <s v="Corporate"/>
    <s v="Direct"/>
    <s v="L. Okafor"/>
    <x v="2"/>
    <x v="46"/>
    <n v="1195.98"/>
    <n v="1841.9"/>
    <n v="5.5E-2"/>
    <n v="19"/>
    <n v="33071.3145"/>
    <n v="22723.62"/>
    <n v="10347.694500000001"/>
    <n v="0.31289032977506842"/>
  </r>
  <r>
    <s v="ORD-2023-575584"/>
    <x v="46"/>
    <d v="2024-03-03T00:00:00"/>
    <n v="21"/>
    <s v="QUARTER 1"/>
    <s v="Africa"/>
    <x v="0"/>
    <s v="Kisumu"/>
    <s v="Enterprise"/>
    <s v="Online"/>
    <s v="B. Chen"/>
    <x v="2"/>
    <x v="47"/>
    <n v="516.86"/>
    <n v="852.54"/>
    <n v="5.0999999999999997E-2"/>
    <n v="14"/>
    <n v="11326.846439999999"/>
    <n v="7236.04"/>
    <n v="4090.8064399999994"/>
    <n v="0.36116022775355994"/>
  </r>
  <r>
    <s v="ORD-2023-184577"/>
    <x v="47"/>
    <d v="2023-03-12T00:00:00"/>
    <n v="19"/>
    <s v="QUARTER 1"/>
    <s v="Africa"/>
    <x v="0"/>
    <s v="Nakuru"/>
    <s v="Corporate"/>
    <s v="Retail"/>
    <s v="F. Müller"/>
    <x v="1"/>
    <x v="48"/>
    <n v="352.65"/>
    <n v="485.86"/>
    <n v="4.1000000000000002E-2"/>
    <n v="6"/>
    <n v="2795.6384399999997"/>
    <n v="2115.8999999999996"/>
    <n v="679.73844000000008"/>
    <n v="0.24314247159943908"/>
  </r>
  <r>
    <s v="ORD-2023-128295"/>
    <x v="48"/>
    <d v="2023-07-03T00:00:00"/>
    <n v="10"/>
    <s v="QUARTER 2"/>
    <s v="Africa"/>
    <x v="2"/>
    <s v="Abuja"/>
    <s v="Consumer"/>
    <s v="Retail"/>
    <s v="J. Njeri"/>
    <x v="4"/>
    <x v="49"/>
    <n v="337.75"/>
    <n v="548.89"/>
    <n v="0"/>
    <n v="13"/>
    <n v="7135.57"/>
    <n v="4390.75"/>
    <n v="2744.8199999999997"/>
    <n v="0.38466723751571352"/>
  </r>
  <r>
    <s v="ORD-2024-296582"/>
    <x v="49"/>
    <d v="2024-02-02T00:00:00"/>
    <n v="22"/>
    <s v="QUARTER 1"/>
    <s v="Africa"/>
    <x v="1"/>
    <s v="Durban"/>
    <s v="Consumer"/>
    <s v="Retail"/>
    <s v="K. Singh"/>
    <x v="1"/>
    <x v="50"/>
    <n v="1206.2"/>
    <n v="1759.79"/>
    <n v="0"/>
    <n v="6"/>
    <n v="10558.74"/>
    <n v="7237.2000000000007"/>
    <n v="3321.5399999999991"/>
    <n v="0.31457730751964713"/>
  </r>
  <r>
    <s v="ORD-2024-626925"/>
    <x v="50"/>
    <d v="2023-07-09T00:00:00"/>
    <n v="1"/>
    <s v="QUARTER 3"/>
    <s v="Africa"/>
    <x v="0"/>
    <s v="Nairobi"/>
    <s v="Consumer"/>
    <s v="Distributor"/>
    <s v="D. Smith"/>
    <x v="6"/>
    <x v="51"/>
    <n v="1258.72"/>
    <n v="2797.41"/>
    <n v="0"/>
    <n v="7"/>
    <n v="19581.87"/>
    <n v="8811.0400000000009"/>
    <n v="10770.829999999998"/>
    <n v="0.55004093071805704"/>
  </r>
  <r>
    <s v="ORD-2024-638884"/>
    <x v="51"/>
    <d v="2024-05-26T00:00:00"/>
    <n v="-2"/>
    <s v="QUARTER 2"/>
    <s v="Africa"/>
    <x v="2"/>
    <s v="Abuja"/>
    <s v="Enterprise"/>
    <s v="Marketplace"/>
    <s v="F. Müller"/>
    <x v="5"/>
    <x v="52"/>
    <n v="1227.08"/>
    <n v="1896.62"/>
    <n v="0"/>
    <n v="18"/>
    <n v="34139.159999999996"/>
    <n v="22087.439999999999"/>
    <n v="12051.719999999998"/>
    <n v="0.353017473189147"/>
  </r>
  <r>
    <s v="ORD-2023-261081"/>
    <x v="22"/>
    <d v="2023-07-21T00:00:00"/>
    <n v="7"/>
    <s v="QUARTER 3"/>
    <s v="Africa"/>
    <x v="1"/>
    <s v="Durban"/>
    <s v="Enterprise"/>
    <s v="Direct"/>
    <s v="Unknown"/>
    <x v="3"/>
    <x v="53"/>
    <n v="620.74"/>
    <n v="1330.07"/>
    <n v="0.29899999999999999"/>
    <n v="28"/>
    <n v="26106.613960000002"/>
    <n v="17380.72"/>
    <n v="8725.8939600000012"/>
    <n v="0.33424073965967516"/>
  </r>
  <r>
    <s v="ORD-2024-886939"/>
    <x v="52"/>
    <d v="2025-04-29T00:00:00"/>
    <n v="30"/>
    <s v="QUARTER 1"/>
    <s v="Africa"/>
    <x v="1"/>
    <s v="Durban"/>
    <s v="Consumer"/>
    <s v="Distributor"/>
    <s v="J. Njeri"/>
    <x v="3"/>
    <x v="54"/>
    <n v="194.6"/>
    <n v="314.87"/>
    <n v="0.29299999999999998"/>
    <n v="25"/>
    <n v="5565.3272500000003"/>
    <n v="4865"/>
    <n v="700.32725000000028"/>
    <n v="0.1258375686712763"/>
  </r>
  <r>
    <s v="ORD-2024-993481"/>
    <x v="10"/>
    <d v="2025-09-05T00:00:00"/>
    <n v="8"/>
    <s v="QUARTER 3"/>
    <s v="Africa"/>
    <x v="2"/>
    <s v="Port Harcourt"/>
    <s v="Small Business"/>
    <s v="Direct"/>
    <s v="E. Garcia"/>
    <x v="6"/>
    <x v="55"/>
    <n v="1271.0999999999999"/>
    <n v="1932.42"/>
    <n v="0.25"/>
    <n v="21"/>
    <n v="30435.614999999998"/>
    <n v="26693.1"/>
    <n v="3742.5149999999994"/>
    <n v="0.12296498690760807"/>
  </r>
  <r>
    <s v="ORD-2025-149156"/>
    <x v="53"/>
    <d v="2025-07-14T00:00:00"/>
    <n v="20"/>
    <s v="QUARTER 2"/>
    <s v="Africa"/>
    <x v="1"/>
    <s v="Johannesburg"/>
    <s v="Enterprise"/>
    <s v="Online"/>
    <s v="J. Njeri"/>
    <x v="6"/>
    <x v="56"/>
    <n v="1151.06"/>
    <n v="2821.36"/>
    <n v="0.248"/>
    <n v="20"/>
    <n v="42433.254400000005"/>
    <n v="23021.199999999997"/>
    <n v="19412.054400000008"/>
    <n v="0.45747267501594235"/>
  </r>
  <r>
    <s v="ORD-2024-166150"/>
    <x v="34"/>
    <d v="2024-06-08T00:00:00"/>
    <n v="6"/>
    <s v="QUARTER 2"/>
    <s v="Africa"/>
    <x v="0"/>
    <s v="Kisumu"/>
    <s v="Consumer"/>
    <s v="Retail"/>
    <s v="A. Patel"/>
    <x v="5"/>
    <x v="57"/>
    <n v="292.94"/>
    <n v="356.55"/>
    <n v="0.22900000000000001"/>
    <n v="2"/>
    <n v="549.80010000000004"/>
    <n v="585.88"/>
    <n v="-36.079899999999952"/>
    <n v="-6.5623669402751925E-2"/>
  </r>
  <r>
    <s v="ORD-2023-109927"/>
    <x v="54"/>
    <d v="2024-07-09T00:00:00"/>
    <n v="28"/>
    <s v="QUARTER 2"/>
    <s v="Africa"/>
    <x v="2"/>
    <s v="Port Harcourt"/>
    <s v="Corporate"/>
    <s v="Marketplace"/>
    <s v="I. Johnson"/>
    <x v="2"/>
    <x v="58"/>
    <n v="895.54"/>
    <n v="1045"/>
    <n v="0.216"/>
    <n v="15"/>
    <n v="12289.2"/>
    <n v="13433.099999999999"/>
    <n v="-1143.8999999999978"/>
    <n v="-9.3081730299775234E-2"/>
  </r>
  <r>
    <s v="ORD-2023-603650"/>
    <x v="55"/>
    <d v="2023-04-01T00:00:00"/>
    <n v="25"/>
    <s v="QUARTER 1"/>
    <s v="Africa"/>
    <x v="0"/>
    <s v="Nairobi"/>
    <s v="Consumer"/>
    <s v="Direct"/>
    <s v="D. Smith"/>
    <x v="4"/>
    <x v="59"/>
    <n v="1024.0999999999999"/>
    <n v="918.19"/>
    <n v="0.189"/>
    <n v="10"/>
    <n v="7446.5209000000004"/>
    <n v="10241"/>
    <n v="-2794.4790999999996"/>
    <n v="-0.37527311579827827"/>
  </r>
  <r>
    <s v="ORD-2024-544865"/>
    <x v="56"/>
    <d v="2024-03-26T00:00:00"/>
    <n v="20"/>
    <s v="QUARTER 1"/>
    <s v="Africa"/>
    <x v="2"/>
    <s v="Port Harcourt"/>
    <s v="Consumer"/>
    <s v="Direct"/>
    <s v="I. Johnson"/>
    <x v="2"/>
    <x v="60"/>
    <n v="65.64"/>
    <n v="151.88"/>
    <n v="0.16700000000000001"/>
    <n v="23"/>
    <n v="2909.8689199999999"/>
    <n v="1509.72"/>
    <n v="1400.1489199999999"/>
    <n v="0.48117250587356353"/>
  </r>
  <r>
    <s v="ORD-2025-586799"/>
    <x v="57"/>
    <d v="2024-10-23T00:00:00"/>
    <n v="21"/>
    <s v="QUARTER 4"/>
    <s v="Africa"/>
    <x v="1"/>
    <s v="Durban"/>
    <s v="Corporate"/>
    <s v="Direct"/>
    <s v="A. Patel"/>
    <x v="0"/>
    <x v="61"/>
    <n v="1095.6099999999999"/>
    <n v="2366.5100000000002"/>
    <n v="0.152"/>
    <n v="9"/>
    <n v="18061.204320000004"/>
    <n v="9860.49"/>
    <n v="8200.7143200000046"/>
    <n v="0.4540513564158607"/>
  </r>
  <r>
    <s v="ORD-2025-480172"/>
    <x v="58"/>
    <d v="2024-01-06T00:00:00"/>
    <n v="16"/>
    <s v="QUARTER 4"/>
    <s v="Africa"/>
    <x v="2"/>
    <s v="Unknown"/>
    <s v="Corporate"/>
    <s v="Online"/>
    <s v="K. Singh"/>
    <x v="0"/>
    <x v="62"/>
    <n v="932.61"/>
    <n v="1982.98"/>
    <n v="0.14399999999999999"/>
    <n v="16"/>
    <n v="27158.894079999998"/>
    <n v="14921.76"/>
    <n v="12237.134079999998"/>
    <n v="0.45057556629345635"/>
  </r>
  <r>
    <s v="ORD-2025-246692"/>
    <x v="59"/>
    <d v="2024-08-09T00:00:00"/>
    <n v="6"/>
    <s v="QUARTER 3"/>
    <s v="Africa"/>
    <x v="0"/>
    <s v="Mombasa"/>
    <s v="Consumer"/>
    <s v="Marketplace"/>
    <s v="H. Kim"/>
    <x v="6"/>
    <x v="63"/>
    <n v="643.21"/>
    <n v="1112.81"/>
    <n v="0.14099999999999999"/>
    <n v="4"/>
    <n v="3823.6151599999998"/>
    <n v="2572.84"/>
    <n v="1250.7751599999997"/>
    <n v="0.32711847496702562"/>
  </r>
  <r>
    <s v="ORD-2025-512310"/>
    <x v="60"/>
    <d v="2025-03-21T00:00:00"/>
    <n v="28"/>
    <s v="QUARTER 1"/>
    <s v="Africa"/>
    <x v="2"/>
    <s v="Abuja"/>
    <s v="Enterprise"/>
    <s v="Distributor"/>
    <s v="I. Johnson"/>
    <x v="2"/>
    <x v="64"/>
    <n v="1437.39"/>
    <n v="1388.31"/>
    <n v="0.13800000000000001"/>
    <n v="18"/>
    <n v="21541.017959999997"/>
    <n v="25873.02"/>
    <n v="-4332.002040000003"/>
    <n v="-0.20110479681341872"/>
  </r>
  <r>
    <s v="ORD-2025-898022"/>
    <x v="61"/>
    <d v="2025-04-26T00:00:00"/>
    <n v="10"/>
    <s v="QUARTER 2"/>
    <s v="Africa"/>
    <x v="2"/>
    <s v="Port Harcourt"/>
    <s v="Enterprise"/>
    <s v="Distributor"/>
    <s v="F. Müller"/>
    <x v="6"/>
    <x v="65"/>
    <n v="1457.44"/>
    <n v="1996.81"/>
    <n v="0.126"/>
    <n v="23"/>
    <n v="40139.874619999995"/>
    <n v="33521.120000000003"/>
    <n v="6618.7546199999924"/>
    <n v="0.16489225944672353"/>
  </r>
  <r>
    <s v="ORD-2025-608069"/>
    <x v="62"/>
    <d v="2024-10-04T00:00:00"/>
    <n v="28"/>
    <s v="QUARTER 3"/>
    <s v="Africa"/>
    <x v="1"/>
    <s v="Cape Town"/>
    <s v="Corporate"/>
    <s v="Direct"/>
    <s v="D. Smith"/>
    <x v="3"/>
    <x v="66"/>
    <n v="1174.17"/>
    <n v="1641.61"/>
    <n v="0.122"/>
    <n v="9"/>
    <n v="12972.00222"/>
    <n v="10567.53"/>
    <n v="2404.4722199999997"/>
    <n v="0.18535860380079394"/>
  </r>
  <r>
    <s v="ORD-2023-211715"/>
    <x v="63"/>
    <d v="2024-07-03T00:00:00"/>
    <n v="17"/>
    <s v="QUARTER 2"/>
    <s v="Africa"/>
    <x v="1"/>
    <s v="Johannesburg"/>
    <s v="Enterprise"/>
    <s v="Distributor"/>
    <s v="F. Müller"/>
    <x v="2"/>
    <x v="67"/>
    <n v="1173.83"/>
    <n v="2328.9"/>
    <n v="0.12"/>
    <n v="17"/>
    <n v="34840.344000000005"/>
    <n v="19955.11"/>
    <n v="14885.234000000004"/>
    <n v="0.42724130393201637"/>
  </r>
  <r>
    <s v="ORD-2025-580047"/>
    <x v="64"/>
    <d v="2025-06-29T00:00:00"/>
    <n v="15"/>
    <s v="QUARTER 2"/>
    <s v="Africa"/>
    <x v="2"/>
    <s v="Port Harcourt"/>
    <s v="Consumer"/>
    <s v="Online"/>
    <s v="M. Rossi"/>
    <x v="5"/>
    <x v="68"/>
    <n v="730.99"/>
    <n v="1242.8399999999999"/>
    <n v="0.12"/>
    <n v="10"/>
    <n v="10936.992"/>
    <n v="7309.9"/>
    <n v="3627.0920000000006"/>
    <n v="0.33163524303574515"/>
  </r>
  <r>
    <s v="ORD-2023-885216"/>
    <x v="65"/>
    <d v="2025-07-31T00:00:00"/>
    <n v="12"/>
    <s v="QUARTER 3"/>
    <s v="Africa"/>
    <x v="0"/>
    <s v="Nairobi"/>
    <s v="Small Business"/>
    <m/>
    <s v="O. Wang"/>
    <x v="5"/>
    <x v="69"/>
    <n v="619.64"/>
    <n v="861.16"/>
    <n v="0.113"/>
    <n v="14"/>
    <n v="10693.88488"/>
    <n v="8674.9599999999991"/>
    <n v="2018.9248800000005"/>
    <n v="0.18879246435276761"/>
  </r>
  <r>
    <s v="ORD-2025-248586"/>
    <x v="66"/>
    <d v="2024-11-08T00:00:00"/>
    <n v="0"/>
    <s v="QUARTER 4"/>
    <s v="Africa"/>
    <x v="0"/>
    <s v="Nakuru"/>
    <s v="Enterprise"/>
    <s v="Direct"/>
    <s v="M. Rossi"/>
    <x v="1"/>
    <x v="70"/>
    <n v="803.28"/>
    <n v="1009"/>
    <n v="0.11"/>
    <n v="4"/>
    <n v="3592.04"/>
    <n v="3213.12"/>
    <n v="378.92000000000007"/>
    <n v="0.10548880302001093"/>
  </r>
  <r>
    <s v="ORD-2023-825495"/>
    <x v="67"/>
    <d v="2023-11-29T00:00:00"/>
    <n v="-1"/>
    <s v="QUARTER 4"/>
    <s v="Africa"/>
    <x v="1"/>
    <s v="Durban"/>
    <s v="Small Business"/>
    <s v="Retail"/>
    <s v="E. Garcia"/>
    <x v="6"/>
    <x v="71"/>
    <n v="275.56"/>
    <n v="630.72"/>
    <n v="0.107"/>
    <n v="23"/>
    <n v="12954.358080000002"/>
    <n v="6337.88"/>
    <n v="6616.4780800000017"/>
    <n v="0.5107530638831933"/>
  </r>
  <r>
    <s v="ORD-2023-967239"/>
    <x v="68"/>
    <d v="2023-05-05T00:00:00"/>
    <n v="-2"/>
    <s v="QUARTER 2"/>
    <s v="Africa"/>
    <x v="2"/>
    <s v="Port Harcourt"/>
    <s v="Non-Profit"/>
    <s v="Distributor"/>
    <s v="A. Patel"/>
    <x v="0"/>
    <x v="72"/>
    <n v="1269.6500000000001"/>
    <n v="2462.77"/>
    <n v="0.107"/>
    <n v="8"/>
    <n v="17594.028880000002"/>
    <n v="10157.200000000001"/>
    <n v="7436.8288800000009"/>
    <n v="0.42269050089225502"/>
  </r>
  <r>
    <s v="ORD-2025-269934"/>
    <x v="69"/>
    <d v="2023-04-08T00:00:00"/>
    <n v="2"/>
    <s v="QUARTER 2"/>
    <s v="Africa"/>
    <x v="2"/>
    <s v="Abuja"/>
    <s v="Small Business"/>
    <s v="Direct"/>
    <s v="K. Singh"/>
    <x v="3"/>
    <x v="73"/>
    <n v="720.35"/>
    <n v="1571.66"/>
    <n v="0.107"/>
    <n v="23"/>
    <n v="32280.32474"/>
    <n v="16568.05"/>
    <n v="15712.274740000001"/>
    <n v="0.4867446305622265"/>
  </r>
  <r>
    <s v="ORD-2025-474710"/>
    <x v="70"/>
    <d v="2025-08-06T00:00:00"/>
    <n v="13"/>
    <s v="QUARTER 3"/>
    <s v="Africa"/>
    <x v="1"/>
    <s v="Johannesburg"/>
    <s v="Education"/>
    <s v="Online"/>
    <s v="D. Smith"/>
    <x v="1"/>
    <x v="74"/>
    <n v="1463.9"/>
    <n v="2633.02"/>
    <n v="8.4000000000000005E-2"/>
    <n v="4"/>
    <n v="9647.3852800000004"/>
    <n v="5855.6"/>
    <n v="3791.7852800000001"/>
    <n v="0.39303761277791527"/>
  </r>
  <r>
    <s v="ORD-2024-465898"/>
    <x v="71"/>
    <d v="2023-09-16T00:00:00"/>
    <n v="22"/>
    <s v="QUARTER 3"/>
    <s v="Africa"/>
    <x v="2"/>
    <s v="Abuja"/>
    <s v="Corporate"/>
    <s v="Marketplace"/>
    <s v="L. Okafor"/>
    <x v="2"/>
    <x v="75"/>
    <n v="1196.83"/>
    <n v="2513.5100000000002"/>
    <n v="8.3000000000000004E-2"/>
    <n v="7"/>
    <n v="16134.22069"/>
    <n v="8377.81"/>
    <n v="7756.4106900000006"/>
    <n v="0.48074281609445374"/>
  </r>
  <r>
    <s v="ORD-2025-168148"/>
    <x v="72"/>
    <d v="2025-04-02T00:00:00"/>
    <n v="4"/>
    <s v="QUARTER 1"/>
    <s v="Africa"/>
    <x v="2"/>
    <s v="Lagos"/>
    <s v="Non-Profit"/>
    <s v="Direct"/>
    <s v="G. Dubois"/>
    <x v="2"/>
    <x v="76"/>
    <n v="259.93"/>
    <n v="255.94"/>
    <n v="7.1999999999999995E-2"/>
    <n v="22"/>
    <n v="5225.2710400000005"/>
    <n v="5718.46"/>
    <n v="-493.1889599999995"/>
    <n v="-9.4385335463861311E-2"/>
  </r>
  <r>
    <s v="ORD-2023-841426"/>
    <x v="73"/>
    <d v="2023-12-23T00:00:00"/>
    <n v="1"/>
    <s v="QUARTER 4"/>
    <s v="Africa"/>
    <x v="1"/>
    <s v="Cape Town"/>
    <s v="Non-Profit"/>
    <s v="Marketplace"/>
    <s v="D. Smith"/>
    <x v="0"/>
    <x v="77"/>
    <n v="1186.18"/>
    <n v="1285.0899999999999"/>
    <n v="7.0000000000000007E-2"/>
    <n v="11"/>
    <n v="13146.470699999998"/>
    <n v="13047.980000000001"/>
    <n v="98.49069999999665"/>
    <n v="7.4917977796121861E-3"/>
  </r>
  <r>
    <s v="ORD-2023-974506"/>
    <x v="74"/>
    <d v="2023-07-13T00:00:00"/>
    <n v="6"/>
    <s v="QUARTER 3"/>
    <s v="Africa"/>
    <x v="1"/>
    <s v="Cape Town"/>
    <s v="Small Business"/>
    <s v="Marketplace"/>
    <s v="B. Chen"/>
    <x v="5"/>
    <x v="78"/>
    <n v="612.59"/>
    <n v="1424.74"/>
    <n v="4.3999999999999997E-2"/>
    <n v="15"/>
    <n v="20430.771599999996"/>
    <n v="9188.85"/>
    <n v="11241.921599999996"/>
    <n v="0.55024459281802152"/>
  </r>
  <r>
    <s v="ORD-2024-589570"/>
    <x v="75"/>
    <d v="2024-05-29T00:00:00"/>
    <n v="25"/>
    <s v="QUARTER 2"/>
    <s v="Africa"/>
    <x v="2"/>
    <s v="Abuja"/>
    <s v="Non-Profit"/>
    <s v="Marketplace"/>
    <s v="O. Wang"/>
    <x v="3"/>
    <x v="79"/>
    <n v="1295.3399999999999"/>
    <n v="2530.81"/>
    <n v="3.1E-2"/>
    <n v="6"/>
    <n v="14714.12934"/>
    <n v="7772.0399999999991"/>
    <n v="6942.0893400000004"/>
    <n v="0.4717974933880798"/>
  </r>
  <r>
    <s v="ORD-2024-626750"/>
    <x v="76"/>
    <d v="2025-04-30T00:00:00"/>
    <n v="18"/>
    <s v="QUARTER 2"/>
    <s v="Africa"/>
    <x v="0"/>
    <s v="Kisumu"/>
    <s v="Corporate"/>
    <s v="Distributor"/>
    <s v="F. Müller"/>
    <x v="1"/>
    <x v="80"/>
    <n v="1119.04"/>
    <n v="1299.02"/>
    <n v="2.5000000000000001E-2"/>
    <n v="14"/>
    <n v="17731.623"/>
    <n v="15666.56"/>
    <n v="2065.0630000000001"/>
    <n v="0.11646215352085933"/>
  </r>
  <r>
    <s v="ORD-2024-930679"/>
    <x v="77"/>
    <d v="2023-10-11T00:00:00"/>
    <n v="2"/>
    <s v="QUARTER 4"/>
    <s v="Africa"/>
    <x v="2"/>
    <s v="Port Harcourt"/>
    <s v="Education"/>
    <s v="Direct"/>
    <s v="K. Singh"/>
    <x v="1"/>
    <x v="81"/>
    <n v="391.16"/>
    <n v="902.47"/>
    <n v="4.0000000000000001E-3"/>
    <n v="12"/>
    <n v="10786.32144"/>
    <n v="4693.92"/>
    <n v="6092.4014399999996"/>
    <n v="0.56482661618139207"/>
  </r>
  <r>
    <s v="ORD-2023-208944"/>
    <x v="78"/>
    <d v="2023-05-16T00:00:00"/>
    <n v="12"/>
    <s v="QUARTER 2"/>
    <s v="Africa"/>
    <x v="2"/>
    <s v="Abuja"/>
    <s v="Small Business"/>
    <s v="Marketplace"/>
    <s v="J. Njeri"/>
    <x v="2"/>
    <x v="82"/>
    <n v="77.739999999999995"/>
    <n v="147.12"/>
    <n v="0"/>
    <n v="15"/>
    <n v="2206.8000000000002"/>
    <n v="1166.0999999999999"/>
    <n v="1040.7000000000003"/>
    <n v="0.47158781946710177"/>
  </r>
  <r>
    <s v="ORD-2023-419187"/>
    <x v="29"/>
    <d v="2023-04-05T00:00:00"/>
    <n v="5"/>
    <s v="QUARTER 1"/>
    <s v="Africa"/>
    <x v="0"/>
    <s v="Nakuru"/>
    <s v="Education"/>
    <s v="Marketplace"/>
    <s v="B. Chen"/>
    <x v="6"/>
    <x v="83"/>
    <n v="533.26"/>
    <n v="385.72"/>
    <n v="0"/>
    <n v="15"/>
    <n v="5785.8"/>
    <n v="7998.9"/>
    <n v="-2213.0999999999995"/>
    <n v="-0.38250544436378708"/>
  </r>
  <r>
    <s v="ORD-2023-897079"/>
    <x v="79"/>
    <d v="2023-05-14T00:00:00"/>
    <n v="30"/>
    <s v="QUARTER 2"/>
    <s v="Africa"/>
    <x v="0"/>
    <s v="Nakuru"/>
    <s v="Consumer"/>
    <s v="Direct"/>
    <s v="M. Rossi"/>
    <x v="2"/>
    <x v="84"/>
    <n v="209.25"/>
    <n v="434.8"/>
    <n v="0"/>
    <n v="9"/>
    <n v="3913.2000000000003"/>
    <n v="1883.25"/>
    <n v="2029.9500000000003"/>
    <n v="0.51874425022999082"/>
  </r>
  <r>
    <s v="ORD-2024-532184"/>
    <x v="80"/>
    <d v="2023-09-20T00:00:00"/>
    <n v="27"/>
    <s v="QUARTER 3"/>
    <s v="Africa"/>
    <x v="1"/>
    <s v="Durban"/>
    <s v="Small Business"/>
    <s v="Retail"/>
    <s v="M. Rossi"/>
    <x v="4"/>
    <x v="85"/>
    <n v="1399.64"/>
    <n v="3342.11"/>
    <n v="0"/>
    <n v="10"/>
    <n v="33421.1"/>
    <n v="13996.400000000001"/>
    <n v="19424.699999999997"/>
    <n v="0.58121067229983447"/>
  </r>
  <r>
    <s v="ORD-2023-766015"/>
    <x v="81"/>
    <d v="2023-08-19T00:00:00"/>
    <n v="26"/>
    <s v="QUARTER 3"/>
    <s v="Africa"/>
    <x v="0"/>
    <s v="Nairobi"/>
    <s v="Enterprise"/>
    <s v="Distributor"/>
    <s v="M. Rossi"/>
    <x v="5"/>
    <x v="86"/>
    <n v="661.45"/>
    <n v="1634.86"/>
    <n v="0.56499999999999995"/>
    <n v="24"/>
    <n v="17067.938400000003"/>
    <n v="15874.800000000001"/>
    <n v="1193.1384000000016"/>
    <n v="6.9905244092045793E-2"/>
  </r>
  <r>
    <s v="ORD-2023-382272"/>
    <x v="82"/>
    <d v="2023-05-18T00:00:00"/>
    <n v="-2"/>
    <s v="QUARTER 2"/>
    <s v="Africa"/>
    <x v="1"/>
    <s v="Durban"/>
    <s v="Corporate"/>
    <s v="Distributor"/>
    <s v="A. Patel"/>
    <x v="0"/>
    <x v="87"/>
    <n v="917.88"/>
    <n v="1347.92"/>
    <n v="0.34300000000000003"/>
    <n v="5"/>
    <n v="4427.9172000000008"/>
    <n v="4589.3999999999996"/>
    <n v="-161.48279999999886"/>
    <n v="-3.6469245630880096E-2"/>
  </r>
  <r>
    <s v="ORD-2023-825084"/>
    <x v="83"/>
    <d v="2023-08-10T00:00:00"/>
    <n v="16"/>
    <s v="QUARTER 3"/>
    <s v="Africa"/>
    <x v="2"/>
    <s v="Port Harcourt"/>
    <s v="Corporate"/>
    <s v="Distributor"/>
    <s v="I. Johnson"/>
    <x v="5"/>
    <x v="88"/>
    <n v="506.83"/>
    <n v="441.74"/>
    <n v="0.24"/>
    <n v="9"/>
    <n v="3021.5016000000001"/>
    <n v="4561.47"/>
    <n v="-1539.9684000000002"/>
    <n v="-0.50966989393618067"/>
  </r>
  <r>
    <s v="ORD-2023-488227"/>
    <x v="84"/>
    <d v="2024-03-16T00:00:00"/>
    <n v="12"/>
    <s v="QUARTER 1"/>
    <s v="Africa"/>
    <x v="1"/>
    <s v="Johannesburg"/>
    <s v="Enterprise"/>
    <s v="Online"/>
    <s v="M. Rossi"/>
    <x v="3"/>
    <x v="89"/>
    <n v="441.08"/>
    <n v="1054.29"/>
    <n v="0.23699999999999999"/>
    <n v="6"/>
    <n v="4826.5396199999996"/>
    <n v="2646.48"/>
    <n v="2180.0596199999995"/>
    <n v="0.45168169985932899"/>
  </r>
  <r>
    <s v="ORD-2024-787018"/>
    <x v="85"/>
    <d v="2024-12-15T00:00:00"/>
    <n v="23"/>
    <s v="QUARTER 4"/>
    <s v="Africa"/>
    <x v="0"/>
    <s v="Mombasa"/>
    <s v="Non-Profit"/>
    <s v="Online"/>
    <s v="C. Otieno"/>
    <x v="0"/>
    <x v="90"/>
    <n v="1335.76"/>
    <n v="2665.91"/>
    <n v="0.21099999999999999"/>
    <n v="40"/>
    <n v="84136.119600000005"/>
    <n v="53430.400000000001"/>
    <n v="30705.719600000004"/>
    <n v="0.36495288522909253"/>
  </r>
  <r>
    <s v="ORD-2024-939873"/>
    <x v="86"/>
    <d v="2024-05-07T00:00:00"/>
    <n v="25"/>
    <s v="QUARTER 2"/>
    <s v="Africa"/>
    <x v="1"/>
    <s v="Johannesburg"/>
    <s v="Education"/>
    <s v="Marketplace"/>
    <s v="A. Patel"/>
    <x v="6"/>
    <x v="91"/>
    <n v="1376.51"/>
    <n v="1455.91"/>
    <n v="0.185"/>
    <n v="17"/>
    <n v="20171.63305"/>
    <n v="23400.67"/>
    <n v="-3229.0369499999979"/>
    <n v="-0.1600781127634085"/>
  </r>
  <r>
    <s v="ORD-2025-244832"/>
    <x v="87"/>
    <d v="2025-09-28T00:00:00"/>
    <n v="17"/>
    <s v="QUARTER 3"/>
    <s v="Africa"/>
    <x v="0"/>
    <s v="Nairobi"/>
    <s v="Non-Profit"/>
    <s v="Retail"/>
    <s v="J. Njeri"/>
    <x v="6"/>
    <x v="92"/>
    <n v="891.46"/>
    <n v="728.61"/>
    <n v="0.185"/>
    <n v="6"/>
    <n v="3562.9028999999996"/>
    <n v="5348.76"/>
    <n v="-1785.8571000000006"/>
    <n v="-0.50123653383874167"/>
  </r>
  <r>
    <s v="ORD-2024-704056"/>
    <x v="88"/>
    <d v="2024-02-03T00:00:00"/>
    <n v="16"/>
    <s v="QUARTER 1"/>
    <s v="Africa"/>
    <x v="1"/>
    <s v="Cape Town"/>
    <s v="Non-Profit"/>
    <s v="Distributor"/>
    <s v="L. Okafor"/>
    <x v="4"/>
    <x v="93"/>
    <n v="666.23"/>
    <n v="1382.91"/>
    <n v="0.17599999999999999"/>
    <n v="13"/>
    <n v="14813.731920000002"/>
    <n v="8660.99"/>
    <n v="6152.7419200000022"/>
    <n v="0.41534043907553048"/>
  </r>
  <r>
    <s v="ORD-2024-838925"/>
    <x v="89"/>
    <d v="2024-12-24T00:00:00"/>
    <n v="27"/>
    <s v="QUARTER 4"/>
    <s v="Africa"/>
    <x v="0"/>
    <s v="Mombasa"/>
    <s v="Corporate"/>
    <s v="Direct"/>
    <s v="B. Chen"/>
    <x v="4"/>
    <x v="94"/>
    <n v="143.33000000000001"/>
    <n v="233.51"/>
    <n v="0.16300000000000001"/>
    <n v="14"/>
    <n v="2736.27018"/>
    <n v="2006.6200000000001"/>
    <n v="729.65017999999986"/>
    <n v="0.26665867476580835"/>
  </r>
  <r>
    <s v="ORD-2024-640340"/>
    <x v="90"/>
    <d v="2024-10-29T00:00:00"/>
    <n v="7"/>
    <s v="QUARTER 4"/>
    <s v="Africa"/>
    <x v="2"/>
    <s v="Port Harcourt"/>
    <s v="Enterprise"/>
    <s v="Marketplace"/>
    <s v="M. Rossi"/>
    <x v="3"/>
    <x v="95"/>
    <n v="1023.06"/>
    <n v="1355.61"/>
    <n v="0.153"/>
    <n v="23"/>
    <n v="26408.63841"/>
    <n v="23530.379999999997"/>
    <n v="2878.2584100000022"/>
    <n v="0.10898927711888809"/>
  </r>
  <r>
    <s v="ORD-2023-700699"/>
    <x v="91"/>
    <d v="2025-02-16T00:00:00"/>
    <n v="9"/>
    <s v="QUARTER 1"/>
    <s v="Africa"/>
    <x v="2"/>
    <s v="Lagos"/>
    <s v="Small Business"/>
    <s v="Marketplace"/>
    <s v="C. Otieno"/>
    <x v="4"/>
    <x v="96"/>
    <n v="90.68"/>
    <n v="118.17"/>
    <n v="0.13500000000000001"/>
    <n v="21"/>
    <n v="2146.5580500000001"/>
    <n v="1904.2800000000002"/>
    <n v="242.27804999999989"/>
    <n v="0.11286815653552899"/>
  </r>
  <r>
    <s v="ORD-2023-619385"/>
    <x v="92"/>
    <d v="2024-05-12T00:00:00"/>
    <n v="5"/>
    <s v="QUARTER 2"/>
    <s v="Africa"/>
    <x v="2"/>
    <s v="Abuja"/>
    <s v="Non-Profit"/>
    <s v="Marketplace"/>
    <s v="L. Okafor"/>
    <x v="6"/>
    <x v="97"/>
    <n v="1163.99"/>
    <n v="1617.85"/>
    <n v="0.127"/>
    <n v="14"/>
    <n v="19773.362699999998"/>
    <n v="16295.86"/>
    <n v="3477.5026999999973"/>
    <n v="0.17586804797749436"/>
  </r>
  <r>
    <s v="ORD-2024-153053"/>
    <x v="68"/>
    <d v="2023-05-29T00:00:00"/>
    <n v="22"/>
    <s v="QUARTER 2"/>
    <s v="Africa"/>
    <x v="1"/>
    <s v="Durban"/>
    <s v="Education"/>
    <s v="Retail"/>
    <s v="K. Singh"/>
    <x v="5"/>
    <x v="98"/>
    <n v="653.86"/>
    <n v="931.84"/>
    <n v="0.121"/>
    <n v="12"/>
    <n v="9829.0483199999999"/>
    <n v="7846.32"/>
    <n v="1982.7283200000002"/>
    <n v="0.20172129136506273"/>
  </r>
  <r>
    <s v="ORD-2024-919471"/>
    <x v="93"/>
    <d v="2024-07-26T00:00:00"/>
    <n v="27"/>
    <s v="QUARTER 2"/>
    <s v="Africa"/>
    <x v="1"/>
    <s v="Durban"/>
    <s v="Enterprise"/>
    <s v="Retail"/>
    <s v="B. Chen"/>
    <x v="1"/>
    <x v="99"/>
    <n v="5.36"/>
    <n v="4.37"/>
    <n v="0.11799999999999999"/>
    <n v="9"/>
    <n v="34.689059999999998"/>
    <n v="48.24"/>
    <n v="-13.550940000000004"/>
    <n v="-0.39064016148030545"/>
  </r>
  <r>
    <s v="ORD-2023-811823"/>
    <x v="94"/>
    <d v="2024-01-01T00:00:00"/>
    <n v="4"/>
    <s v="QUARTER 4"/>
    <s v="Africa"/>
    <x v="1"/>
    <s v="Cape Town"/>
    <s v="Education"/>
    <s v="Retail"/>
    <s v="A. Patel"/>
    <x v="4"/>
    <x v="100"/>
    <n v="1141.8"/>
    <n v="2318.7399999999998"/>
    <n v="0.107"/>
    <n v="32"/>
    <n v="66260.314239999992"/>
    <n v="36537.599999999999"/>
    <n v="29722.714239999994"/>
    <n v="0.44857490612468304"/>
  </r>
  <r>
    <s v="ORD-2024-402240"/>
    <x v="95"/>
    <d v="2025-05-30T00:00:00"/>
    <n v="13"/>
    <s v="QUARTER 2"/>
    <s v="Africa"/>
    <x v="2"/>
    <s v="Lagos"/>
    <s v="Consumer"/>
    <s v="Marketplace"/>
    <s v="F. Müller"/>
    <x v="5"/>
    <x v="101"/>
    <n v="66.400000000000006"/>
    <n v="141.43"/>
    <n v="0.107"/>
    <n v="8"/>
    <n v="1010.3759200000001"/>
    <n v="531.20000000000005"/>
    <n v="479.17592000000002"/>
    <n v="0.47425508715607551"/>
  </r>
  <r>
    <s v="ORD-2024-281211"/>
    <x v="96"/>
    <d v="2023-03-30T00:00:00"/>
    <n v="16"/>
    <s v="QUARTER 1"/>
    <s v="Africa"/>
    <x v="1"/>
    <s v="Cape Town"/>
    <s v="Consumer"/>
    <s v="Distributor"/>
    <s v="K. Singh"/>
    <x v="0"/>
    <x v="102"/>
    <n v="1309.77"/>
    <n v="1589.07"/>
    <n v="0.10199999999999999"/>
    <n v="10"/>
    <n v="14269.848599999999"/>
    <n v="13097.7"/>
    <n v="1172.1485999999986"/>
    <n v="8.2141628328137886E-2"/>
  </r>
  <r>
    <s v="ORD-2025-364852"/>
    <x v="97"/>
    <d v="2025-03-26T00:00:00"/>
    <n v="1"/>
    <s v="QUARTER 1"/>
    <s v="Africa"/>
    <x v="2"/>
    <s v="Lagos"/>
    <s v="Education"/>
    <s v="Direct"/>
    <s v="G. Dubois"/>
    <x v="5"/>
    <x v="103"/>
    <n v="1450.43"/>
    <n v="1994.67"/>
    <n v="0.1"/>
    <n v="24"/>
    <n v="43084.872000000003"/>
    <n v="34810.32"/>
    <n v="8274.5520000000033"/>
    <n v="0.19205237513529116"/>
  </r>
  <r>
    <s v="ORD-2024-997336"/>
    <x v="98"/>
    <d v="2024-11-02T00:00:00"/>
    <n v="29"/>
    <s v="QUARTER 4"/>
    <s v="Africa"/>
    <x v="2"/>
    <s v="Abuja"/>
    <s v="Corporate"/>
    <s v="Online"/>
    <s v="F. Müller"/>
    <x v="5"/>
    <x v="104"/>
    <n v="412.09"/>
    <n v="968.94"/>
    <n v="9.9000000000000005E-2"/>
    <n v="23"/>
    <n v="20079.343620000003"/>
    <n v="9478.07"/>
    <n v="10601.273620000004"/>
    <n v="0.52796913189137418"/>
  </r>
  <r>
    <s v="ORD-2024-572312"/>
    <x v="99"/>
    <d v="2024-04-06T00:00:00"/>
    <n v="24"/>
    <s v="QUARTER 1"/>
    <s v="Africa"/>
    <x v="2"/>
    <s v="Abuja"/>
    <s v="Consumer"/>
    <s v="Online"/>
    <s v="L. Okafor"/>
    <x v="0"/>
    <x v="105"/>
    <n v="1232.78"/>
    <n v="1731.75"/>
    <n v="9.2999999999999999E-2"/>
    <n v="16"/>
    <n v="25131.155999999999"/>
    <n v="19724.48"/>
    <n v="5406.6759999999995"/>
    <n v="0.21513837246484005"/>
  </r>
  <r>
    <s v="ORD-2023-521280"/>
    <x v="82"/>
    <d v="2023-06-07T00:00:00"/>
    <n v="18"/>
    <s v="QUARTER 2"/>
    <s v="Africa"/>
    <x v="2"/>
    <s v="Port Harcourt"/>
    <s v="Enterprise"/>
    <s v="Marketplace"/>
    <s v="E. Garcia"/>
    <x v="0"/>
    <x v="106"/>
    <n v="1120.06"/>
    <n v="2068.21"/>
    <n v="7.8E-2"/>
    <n v="12"/>
    <n v="22882.675440000003"/>
    <n v="13440.72"/>
    <n v="9441.9554400000034"/>
    <n v="0.41262462795303284"/>
  </r>
  <r>
    <s v="ORD-2025-700847"/>
    <x v="100"/>
    <d v="2025-05-19T00:00:00"/>
    <n v="-2"/>
    <s v="QUARTER 2"/>
    <s v="Africa"/>
    <x v="1"/>
    <s v="Johannesburg"/>
    <s v="Non-Profit"/>
    <s v="Online"/>
    <s v="O. Wang"/>
    <x v="6"/>
    <x v="107"/>
    <n v="1263.8399999999999"/>
    <n v="2281.7199999999998"/>
    <n v="7.8E-2"/>
    <n v="15"/>
    <n v="31556.187599999997"/>
    <n v="18957.599999999999"/>
    <n v="12598.587599999999"/>
    <n v="0.39924301882398494"/>
  </r>
  <r>
    <s v="ORD-2023-640022"/>
    <x v="101"/>
    <d v="2024-06-23T00:00:00"/>
    <n v="18"/>
    <s v="QUARTER 2"/>
    <s v="Africa"/>
    <x v="0"/>
    <s v="Nairobi"/>
    <s v="Consumer"/>
    <s v="Distributor"/>
    <s v="D. Smith"/>
    <x v="6"/>
    <x v="108"/>
    <n v="1208.74"/>
    <n v="1594.78"/>
    <n v="5.8999999999999997E-2"/>
    <n v="39"/>
    <n v="58526.83122"/>
    <n v="47140.86"/>
    <n v="11385.971219999999"/>
    <n v="0.1945427589817838"/>
  </r>
  <r>
    <s v="ORD-2025-440093"/>
    <x v="102"/>
    <d v="2025-06-27T00:00:00"/>
    <n v="6"/>
    <s v="QUARTER 2"/>
    <s v="Africa"/>
    <x v="1"/>
    <s v="Durban"/>
    <s v="Enterprise"/>
    <s v="Retail"/>
    <s v="N. Brown"/>
    <x v="2"/>
    <x v="109"/>
    <n v="93.91"/>
    <n v="99.04"/>
    <n v="5.7000000000000002E-2"/>
    <n v="6"/>
    <n v="560.36831999999993"/>
    <n v="563.46"/>
    <n v="-3.0916800000001103"/>
    <n v="-5.5172283829323376E-3"/>
  </r>
  <r>
    <s v="ORD-2023-501220"/>
    <x v="103"/>
    <d v="2025-07-17T00:00:00"/>
    <n v="1"/>
    <s v="QUARTER 3"/>
    <s v="Africa"/>
    <x v="1"/>
    <s v="Durban"/>
    <s v="Small Business"/>
    <s v="Direct"/>
    <s v="B. Chen"/>
    <x v="1"/>
    <x v="110"/>
    <n v="1198.9000000000001"/>
    <n v="2941.2"/>
    <n v="5.0999999999999997E-2"/>
    <n v="24"/>
    <n v="66988.771199999988"/>
    <n v="28773.600000000002"/>
    <n v="38215.171199999982"/>
    <n v="0.57047129713583977"/>
  </r>
  <r>
    <s v="ORD-2023-243704"/>
    <x v="104"/>
    <d v="2023-05-22T00:00:00"/>
    <n v="8"/>
    <s v="QUARTER 2"/>
    <s v="Africa"/>
    <x v="0"/>
    <s v="Mombasa"/>
    <s v="Small Business"/>
    <s v="Direct"/>
    <s v="F. Müller"/>
    <x v="4"/>
    <x v="111"/>
    <n v="432.01"/>
    <n v="913.78"/>
    <n v="4.9000000000000002E-2"/>
    <n v="12"/>
    <n v="10428.057360000001"/>
    <n v="5184.12"/>
    <n v="5243.9373600000008"/>
    <n v="0.50286809699711899"/>
  </r>
  <r>
    <s v="ORD-2023-497686"/>
    <x v="105"/>
    <d v="2023-07-23T00:00:00"/>
    <n v="20"/>
    <s v="QUARTER 3"/>
    <s v="Africa"/>
    <x v="1"/>
    <s v="Johannesburg"/>
    <s v="Small Business"/>
    <s v="Distributor"/>
    <s v="F. Müller"/>
    <x v="6"/>
    <x v="112"/>
    <n v="1001.96"/>
    <n v="1254.95"/>
    <n v="4.4999999999999998E-2"/>
    <n v="18"/>
    <n v="21572.590500000002"/>
    <n v="18035.28"/>
    <n v="3537.3105000000032"/>
    <n v="0.16397244920585699"/>
  </r>
  <r>
    <s v="ORD-2025-231184"/>
    <x v="106"/>
    <d v="2024-06-24T00:00:00"/>
    <n v="16"/>
    <s v="QUARTER 2"/>
    <s v="Africa"/>
    <x v="1"/>
    <s v="Durban"/>
    <s v="Education"/>
    <s v="Distributor"/>
    <s v="H. Kim"/>
    <x v="3"/>
    <x v="113"/>
    <n v="597.85"/>
    <n v="741.92"/>
    <n v="3.1E-2"/>
    <n v="7"/>
    <n v="5032.4433599999993"/>
    <n v="4184.95"/>
    <n v="847.49335999999948"/>
    <n v="0.16840594108544515"/>
  </r>
  <r>
    <s v="ORD-2024-970848"/>
    <x v="107"/>
    <d v="2024-06-03T00:00:00"/>
    <n v="11"/>
    <s v="QUARTER 2"/>
    <s v="Africa"/>
    <x v="1"/>
    <s v="Johannesburg"/>
    <s v="Small Business"/>
    <s v="Direct"/>
    <s v="F. Müller"/>
    <x v="4"/>
    <x v="114"/>
    <n v="180.89"/>
    <n v="249.57"/>
    <n v="2.1999999999999999E-2"/>
    <n v="8"/>
    <n v="1952.6356799999999"/>
    <n v="1447.12"/>
    <n v="505.51567999999997"/>
    <n v="0.25888888806948362"/>
  </r>
  <r>
    <s v="ORD-2024-647473"/>
    <x v="108"/>
    <d v="2024-11-04T00:00:00"/>
    <n v="6"/>
    <s v="QUARTER 4"/>
    <s v="Africa"/>
    <x v="0"/>
    <s v="Nairobi"/>
    <s v="Corporate"/>
    <s v="Retail"/>
    <s v="M. Rossi"/>
    <x v="4"/>
    <x v="115"/>
    <n v="805.81"/>
    <n v="1823.04"/>
    <n v="0"/>
    <n v="11"/>
    <n v="20053.439999999999"/>
    <n v="8863.91"/>
    <n v="11189.529999999999"/>
    <n v="0.55798556257679477"/>
  </r>
  <r>
    <s v="ORD-2024-792353"/>
    <x v="109"/>
    <d v="2024-05-19T00:00:00"/>
    <n v="28"/>
    <s v="QUARTER 2"/>
    <s v="Africa"/>
    <x v="2"/>
    <s v="Lagos"/>
    <s v="Corporate"/>
    <s v="Retail"/>
    <s v="A. Patel"/>
    <x v="5"/>
    <x v="116"/>
    <n v="187.22"/>
    <n v="309.47000000000003"/>
    <n v="0"/>
    <n v="5"/>
    <n v="1547.3500000000001"/>
    <n v="936.1"/>
    <n v="611.25000000000011"/>
    <n v="0.39503021294471197"/>
  </r>
  <r>
    <s v="ORD-2024-998320"/>
    <x v="110"/>
    <d v="2024-11-14T00:00:00"/>
    <n v="20"/>
    <s v="QUARTER 4"/>
    <s v="Africa"/>
    <x v="0"/>
    <s v="Mombasa"/>
    <s v="Corporate"/>
    <s v="Online"/>
    <s v="H. Kim"/>
    <x v="4"/>
    <x v="117"/>
    <n v="1396.48"/>
    <n v="3204.5"/>
    <n v="0.318"/>
    <n v="14"/>
    <n v="30596.565999999999"/>
    <n v="19550.72"/>
    <n v="11045.845999999998"/>
    <n v="0.36101587348070363"/>
  </r>
  <r>
    <s v="ORD-2023-728177"/>
    <x v="111"/>
    <d v="2024-06-28T00:00:00"/>
    <n v="5"/>
    <s v="QUARTER 2"/>
    <s v="Africa"/>
    <x v="2"/>
    <s v="Port Harcourt"/>
    <s v="Non-Profit"/>
    <s v="Distributor"/>
    <s v="M. Rossi"/>
    <x v="5"/>
    <x v="118"/>
    <n v="242.31"/>
    <n v="587.95000000000005"/>
    <n v="0.22900000000000001"/>
    <n v="6"/>
    <n v="2719.8567000000003"/>
    <n v="1453.8600000000001"/>
    <n v="1265.9967000000001"/>
    <n v="0.46546448568411714"/>
  </r>
  <r>
    <s v="ORD-2023-178249"/>
    <x v="112"/>
    <d v="2024-01-20T00:00:00"/>
    <n v="22"/>
    <s v="QUARTER 4"/>
    <s v="Africa"/>
    <x v="0"/>
    <s v="Kisumu"/>
    <s v="Corporate"/>
    <s v="Direct"/>
    <s v="L. Okafor"/>
    <x v="2"/>
    <x v="119"/>
    <n v="1395.49"/>
    <n v="1679.42"/>
    <n v="0.20300000000000001"/>
    <n v="12"/>
    <n v="16061.972879999999"/>
    <n v="16745.88"/>
    <n v="-683.90712000000167"/>
    <n v="-4.2579272490964493E-2"/>
  </r>
  <r>
    <s v="ORD-2025-907040"/>
    <x v="113"/>
    <d v="2023-09-14T00:00:00"/>
    <n v="6"/>
    <s v="QUARTER 3"/>
    <s v="Africa"/>
    <x v="0"/>
    <s v="Nakuru"/>
    <s v="Education"/>
    <s v="Online"/>
    <s v="I. Johnson"/>
    <x v="5"/>
    <x v="120"/>
    <n v="251.03"/>
    <n v="411.48"/>
    <n v="0.16500000000000001"/>
    <n v="3"/>
    <n v="1030.7574"/>
    <n v="753.09"/>
    <n v="277.66739999999993"/>
    <n v="0.26938191275658069"/>
  </r>
  <r>
    <s v="ORD-2023-159379"/>
    <x v="114"/>
    <d v="2023-02-11T00:00:00"/>
    <n v="3"/>
    <s v="QUARTER 1"/>
    <s v="Africa"/>
    <x v="1"/>
    <s v="Cape Town"/>
    <s v="Corporate"/>
    <s v="Direct"/>
    <s v="M. Rossi"/>
    <x v="1"/>
    <x v="121"/>
    <n v="1410.05"/>
    <n v="2763.95"/>
    <n v="0.161"/>
    <n v="26"/>
    <n v="60292.805299999993"/>
    <n v="36661.299999999996"/>
    <n v="23631.505299999997"/>
    <n v="0.39194569206750779"/>
  </r>
  <r>
    <s v="ORD-2025-725646"/>
    <x v="115"/>
    <d v="2025-09-30T00:00:00"/>
    <n v="20"/>
    <s v="QUARTER 3"/>
    <s v="Africa"/>
    <x v="0"/>
    <s v="Mombasa"/>
    <s v="Corporate"/>
    <s v="Retail"/>
    <s v="L. Okafor"/>
    <x v="2"/>
    <x v="122"/>
    <n v="1009.48"/>
    <n v="1088.81"/>
    <n v="0.16"/>
    <n v="6"/>
    <n v="5487.6023999999998"/>
    <n v="6056.88"/>
    <n v="-569.27760000000035"/>
    <n v="-0.10373885688219693"/>
  </r>
  <r>
    <s v="ORD-2025-501927"/>
    <x v="116"/>
    <d v="2025-03-24T00:00:00"/>
    <n v="21"/>
    <s v="QUARTER 1"/>
    <s v="Africa"/>
    <x v="2"/>
    <s v="Abuja"/>
    <s v="Enterprise"/>
    <s v="Marketplace"/>
    <s v="H. Kim"/>
    <x v="5"/>
    <x v="123"/>
    <n v="555.95000000000005"/>
    <n v="468.09"/>
    <n v="0.14199999999999999"/>
    <n v="11"/>
    <n v="4417.8334199999999"/>
    <n v="6115.4500000000007"/>
    <n v="-1697.6165800000008"/>
    <n v="-0.38426450674095375"/>
  </r>
  <r>
    <s v="ORD-2024-201376"/>
    <x v="117"/>
    <d v="2024-03-04T00:00:00"/>
    <n v="15"/>
    <s v="QUARTER 1"/>
    <s v="Africa"/>
    <x v="0"/>
    <s v="Kisumu"/>
    <s v="Education"/>
    <s v="Retail"/>
    <s v="K. Singh"/>
    <x v="4"/>
    <x v="124"/>
    <n v="928.68"/>
    <n v="2145.17"/>
    <n v="0.13600000000000001"/>
    <n v="16"/>
    <n v="29654.83008"/>
    <n v="14858.88"/>
    <n v="14795.950080000001"/>
    <n v="0.49893896003062177"/>
  </r>
  <r>
    <s v="ORD-2024-686712"/>
    <x v="118"/>
    <d v="2025-08-07T00:00:00"/>
    <n v="17"/>
    <s v="QUARTER 3"/>
    <s v="Africa"/>
    <x v="2"/>
    <s v="Lagos"/>
    <s v="Enterprise"/>
    <s v="Direct"/>
    <s v="M. Rossi"/>
    <x v="5"/>
    <x v="125"/>
    <n v="1204.95"/>
    <n v="2065.73"/>
    <n v="0.13600000000000001"/>
    <n v="10"/>
    <n v="17847.907199999998"/>
    <n v="12049.5"/>
    <n v="5798.4071999999978"/>
    <n v="0.32487882949100039"/>
  </r>
  <r>
    <s v="ORD-2025-929414"/>
    <x v="119"/>
    <d v="2024-02-09T00:00:00"/>
    <n v="1"/>
    <s v="QUARTER 1"/>
    <s v="Africa"/>
    <x v="0"/>
    <s v="Mombasa"/>
    <s v="Corporate"/>
    <s v="Online"/>
    <s v="F. Müller"/>
    <x v="0"/>
    <x v="126"/>
    <n v="1233.52"/>
    <n v="1543.76"/>
    <n v="0.126"/>
    <n v="13"/>
    <n v="17540.201120000002"/>
    <n v="16035.76"/>
    <n v="1504.4411200000013"/>
    <n v="8.5771030201277493E-2"/>
  </r>
  <r>
    <s v="ORD-2025-474368"/>
    <x v="120"/>
    <d v="2024-04-09T00:00:00"/>
    <n v="4"/>
    <s v="QUARTER 2"/>
    <s v="Africa"/>
    <x v="2"/>
    <s v="Lagos"/>
    <s v="Non-Profit"/>
    <s v="Direct"/>
    <s v="K. Singh"/>
    <x v="0"/>
    <x v="127"/>
    <n v="395.07"/>
    <n v="970.27"/>
    <n v="0.123"/>
    <n v="38"/>
    <n v="32335.21802"/>
    <n v="15012.66"/>
    <n v="17322.55802"/>
    <n v="0.53571799049833657"/>
  </r>
  <r>
    <s v="ORD-2024-872291"/>
    <x v="121"/>
    <d v="2024-05-22T00:00:00"/>
    <n v="4"/>
    <s v="QUARTER 2"/>
    <s v="Africa"/>
    <x v="0"/>
    <s v="Nairobi"/>
    <s v="Corporate"/>
    <s v="Direct"/>
    <s v="H. Kim"/>
    <x v="5"/>
    <x v="128"/>
    <n v="857.42"/>
    <n v="1658.92"/>
    <n v="0.122"/>
    <n v="9"/>
    <n v="13108.78584"/>
    <n v="7716.78"/>
    <n v="5392.0058400000007"/>
    <n v="0.41132763215544305"/>
  </r>
  <r>
    <s v="ORD-2023-664790"/>
    <x v="122"/>
    <d v="2024-01-27T00:00:00"/>
    <n v="-1"/>
    <s v="QUARTER 1"/>
    <s v="Africa"/>
    <x v="1"/>
    <s v="Cape Town"/>
    <s v="Enterprise"/>
    <s v="Online"/>
    <s v="O. Wang"/>
    <x v="0"/>
    <x v="129"/>
    <n v="109.75"/>
    <n v="124.25"/>
    <n v="0.12"/>
    <n v="19"/>
    <n v="2077.46"/>
    <n v="2085.25"/>
    <n v="-7.7899999999999636"/>
    <n v="-3.7497713554051405E-3"/>
  </r>
  <r>
    <s v="ORD-2024-569164"/>
    <x v="123"/>
    <d v="2024-09-08T00:00:00"/>
    <n v="5"/>
    <s v="QUARTER 3"/>
    <s v="Africa"/>
    <x v="2"/>
    <s v="Lagos"/>
    <s v="Small Business"/>
    <s v="Direct"/>
    <s v="K. Singh"/>
    <x v="4"/>
    <x v="130"/>
    <n v="197.63"/>
    <n v="325.79000000000002"/>
    <n v="0.11600000000000001"/>
    <n v="10"/>
    <n v="2879.9836"/>
    <n v="1976.3"/>
    <n v="903.68360000000007"/>
    <n v="0.31378081458519419"/>
  </r>
  <r>
    <s v="ORD-2025-779530"/>
    <x v="124"/>
    <d v="2023-06-18T00:00:00"/>
    <n v="8"/>
    <s v="QUARTER 2"/>
    <s v="Africa"/>
    <x v="0"/>
    <s v="Nakuru"/>
    <s v="Enterprise"/>
    <s v="Marketplace"/>
    <s v="H. Kim"/>
    <x v="2"/>
    <x v="131"/>
    <n v="894.23"/>
    <n v="1421.55"/>
    <n v="0.109"/>
    <n v="3"/>
    <n v="3799.8031499999997"/>
    <n v="2682.69"/>
    <n v="1117.1131499999997"/>
    <n v="0.29399237431549574"/>
  </r>
  <r>
    <s v="ORD-2025-678688"/>
    <x v="125"/>
    <d v="2023-09-10T00:00:00"/>
    <n v="15"/>
    <s v="QUARTER 3"/>
    <s v="Africa"/>
    <x v="1"/>
    <s v="Cape Town"/>
    <s v="Non-Profit"/>
    <s v="Marketplace"/>
    <s v="N. Brown"/>
    <x v="0"/>
    <x v="132"/>
    <n v="241.14"/>
    <n v="496.52"/>
    <n v="9.2999999999999999E-2"/>
    <n v="10"/>
    <n v="4503.4363999999996"/>
    <n v="2411.3999999999996"/>
    <n v="2092.0364"/>
    <n v="0.46454223268257994"/>
  </r>
  <r>
    <s v="ORD-2025-915869"/>
    <x v="126"/>
    <d v="2025-01-20T00:00:00"/>
    <n v="13"/>
    <s v="QUARTER 1"/>
    <s v="Africa"/>
    <x v="1"/>
    <s v="Cape Town"/>
    <s v="Corporate"/>
    <s v="Direct"/>
    <s v="K. Singh"/>
    <x v="1"/>
    <x v="133"/>
    <n v="432.13"/>
    <n v="1034.6600000000001"/>
    <n v="9.1999999999999998E-2"/>
    <n v="7"/>
    <n v="6576.298960000001"/>
    <n v="3024.91"/>
    <n v="3551.3889600000011"/>
    <n v="0.54002851476204794"/>
  </r>
  <r>
    <s v="ORD-2024-536442"/>
    <x v="127"/>
    <d v="2025-03-01T00:00:00"/>
    <n v="14"/>
    <s v="QUARTER 1"/>
    <s v="Africa"/>
    <x v="0"/>
    <s v="Mombasa"/>
    <s v="Education"/>
    <s v="Distributor"/>
    <s v="L. Okafor"/>
    <x v="5"/>
    <x v="134"/>
    <n v="1162.8599999999999"/>
    <n v="1447.68"/>
    <n v="8.6999999999999994E-2"/>
    <n v="12"/>
    <n v="15860.782080000001"/>
    <n v="13954.32"/>
    <n v="1906.4620800000012"/>
    <n v="0.12019975247021369"/>
  </r>
  <r>
    <s v="ORD-2025-138578"/>
    <x v="128"/>
    <d v="2024-06-20T00:00:00"/>
    <n v="1"/>
    <s v="QUARTER 2"/>
    <s v="Africa"/>
    <x v="0"/>
    <s v="Kisumu"/>
    <s v="Small Business"/>
    <s v="Direct"/>
    <s v="J. Njeri"/>
    <x v="6"/>
    <x v="135"/>
    <n v="231.63"/>
    <n v="537.39"/>
    <n v="0.08"/>
    <n v="12"/>
    <n v="5932.7856000000002"/>
    <n v="2779.56"/>
    <n v="3153.2256000000002"/>
    <n v="0.53149158129024587"/>
  </r>
  <r>
    <s v="ORD-2023-937291"/>
    <x v="129"/>
    <d v="2023-04-22T00:00:00"/>
    <n v="-1"/>
    <s v="QUARTER 2"/>
    <s v="Africa"/>
    <x v="0"/>
    <s v="Nairobi"/>
    <s v="Small Business"/>
    <s v="Marketplace"/>
    <s v="E. Garcia"/>
    <x v="6"/>
    <x v="136"/>
    <n v="756.51"/>
    <n v="850.8"/>
    <n v="7.3999999999999996E-2"/>
    <n v="9"/>
    <n v="7090.5672000000004"/>
    <n v="6808.59"/>
    <n v="281.97720000000027"/>
    <n v="3.9767932810791252E-2"/>
  </r>
  <r>
    <s v="ORD-2024-798002"/>
    <x v="130"/>
    <d v="2024-07-24T00:00:00"/>
    <n v="-1"/>
    <s v="QUARTER 3"/>
    <s v="Africa"/>
    <x v="0"/>
    <s v="Mombasa"/>
    <s v="Non-Profit"/>
    <s v="Direct"/>
    <s v="J. Njeri"/>
    <x v="6"/>
    <x v="137"/>
    <n v="1494.4"/>
    <n v="3661.07"/>
    <n v="7.1999999999999995E-2"/>
    <n v="7"/>
    <n v="23782.310720000001"/>
    <n v="10460.800000000001"/>
    <n v="13321.51072"/>
    <n v="0.56014366630897339"/>
  </r>
  <r>
    <s v="ORD-2023-369150"/>
    <x v="122"/>
    <d v="2024-01-30T00:00:00"/>
    <n v="2"/>
    <s v="QUARTER 1"/>
    <s v="Africa"/>
    <x v="1"/>
    <s v="Cape Town"/>
    <s v="Consumer"/>
    <s v="Distributor"/>
    <s v="F. Müller"/>
    <x v="5"/>
    <x v="138"/>
    <n v="798.45"/>
    <n v="1592.02"/>
    <n v="6.6000000000000003E-2"/>
    <n v="18"/>
    <n v="26765.040239999998"/>
    <n v="14372.1"/>
    <n v="12392.940239999998"/>
    <n v="0.46302714768494585"/>
  </r>
  <r>
    <s v="ORD-2023-453699"/>
    <x v="131"/>
    <d v="2023-02-12T00:00:00"/>
    <n v="1"/>
    <s v="QUARTER 1"/>
    <s v="Africa"/>
    <x v="2"/>
    <s v="Port Harcourt"/>
    <s v="Non-Profit"/>
    <s v="Retail"/>
    <s v="D. Smith"/>
    <x v="5"/>
    <x v="139"/>
    <n v="944.61"/>
    <n v="839.04"/>
    <n v="5.8999999999999997E-2"/>
    <n v="6"/>
    <n v="4737.2198399999997"/>
    <n v="5667.66"/>
    <n v="-930.44016000000011"/>
    <n v="-0.19641059343363726"/>
  </r>
  <r>
    <s v="ORD-2023-271918"/>
    <x v="132"/>
    <d v="2025-09-24T00:00:00"/>
    <n v="30"/>
    <s v="QUARTER 3"/>
    <s v="Africa"/>
    <x v="0"/>
    <s v="Nairobi"/>
    <s v="Consumer"/>
    <s v="Direct"/>
    <s v="B. Chen"/>
    <x v="0"/>
    <x v="140"/>
    <n v="589.14"/>
    <n v="1300.58"/>
    <n v="5.5E-2"/>
    <n v="11"/>
    <n v="13519.529099999998"/>
    <n v="6480.54"/>
    <n v="7038.989099999998"/>
    <n v="0.52065342275863724"/>
  </r>
  <r>
    <s v="ORD-2024-892879"/>
    <x v="133"/>
    <d v="2023-05-18T00:00:00"/>
    <n v="17"/>
    <s v="QUARTER 2"/>
    <s v="Africa"/>
    <x v="2"/>
    <s v="Port Harcourt"/>
    <s v="Corporate"/>
    <m/>
    <s v="F. Müller"/>
    <x v="0"/>
    <x v="141"/>
    <n v="327.97"/>
    <n v="299.94"/>
    <n v="4.9000000000000002E-2"/>
    <n v="3"/>
    <n v="855.72881999999993"/>
    <n v="983.91000000000008"/>
    <n v="-128.18118000000015"/>
    <n v="-0.14979182306843442"/>
  </r>
  <r>
    <s v="ORD-2023-451931"/>
    <x v="134"/>
    <d v="2024-06-30T00:00:00"/>
    <n v="5"/>
    <s v="QUARTER 2"/>
    <s v="Africa"/>
    <x v="0"/>
    <s v="Kisumu"/>
    <s v="Education"/>
    <s v="Direct"/>
    <s v="M. Rossi"/>
    <x v="1"/>
    <x v="142"/>
    <n v="1323.55"/>
    <n v="3230.35"/>
    <n v="2.1999999999999999E-2"/>
    <n v="26"/>
    <n v="82141.339799999987"/>
    <n v="34412.299999999996"/>
    <n v="47729.039799999991"/>
    <n v="0.58105991351263542"/>
  </r>
  <r>
    <s v="ORD-2024-307849"/>
    <x v="135"/>
    <d v="2025-06-30T00:00:00"/>
    <n v="15"/>
    <s v="QUARTER 2"/>
    <s v="Africa"/>
    <x v="1"/>
    <s v="Johannesburg"/>
    <s v="Small Business"/>
    <s v="Direct"/>
    <s v="C. Otieno"/>
    <x v="3"/>
    <x v="143"/>
    <n v="1487.59"/>
    <n v="1480.83"/>
    <n v="8.9999999999999993E-3"/>
    <n v="11"/>
    <n v="16142.527829999999"/>
    <n v="16363.49"/>
    <n v="-220.9621700000007"/>
    <n v="-1.3688201273492908E-2"/>
  </r>
  <r>
    <s v="ORD-2025-662997"/>
    <x v="136"/>
    <d v="2025-04-04T00:00:00"/>
    <n v="4"/>
    <s v="QUARTER 1"/>
    <s v="Africa"/>
    <x v="0"/>
    <s v="Nakuru"/>
    <s v="Corporate"/>
    <s v="Retail"/>
    <s v="C. Otieno"/>
    <x v="6"/>
    <x v="144"/>
    <n v="862.08"/>
    <n v="1952.83"/>
    <n v="0"/>
    <n v="7"/>
    <n v="13669.81"/>
    <n v="6034.56"/>
    <n v="7635.2499999999991"/>
    <n v="0.5585483631447693"/>
  </r>
  <r>
    <s v="ORD-2024-341535"/>
    <x v="137"/>
    <d v="2024-11-06T00:00:00"/>
    <n v="18"/>
    <s v="QUARTER 4"/>
    <s v="Americas"/>
    <x v="3"/>
    <s v="Chicago"/>
    <s v="Education"/>
    <s v="Marketplace"/>
    <s v="C. Otieno"/>
    <x v="3"/>
    <x v="145"/>
    <n v="942.02"/>
    <n v="1028.46"/>
    <n v="0"/>
    <n v="9"/>
    <n v="9256.14"/>
    <n v="8478.18"/>
    <n v="777.95999999999913"/>
    <n v="8.4047994088248354E-2"/>
  </r>
  <r>
    <s v="ORD-2025-762212"/>
    <x v="138"/>
    <d v="2024-10-14T00:00:00"/>
    <n v="25"/>
    <s v="QUARTER 3"/>
    <s v="Americas"/>
    <x v="4"/>
    <s v="Rio de Janeiro"/>
    <s v="Small Business"/>
    <s v="Marketplace"/>
    <s v="K. Singh"/>
    <x v="4"/>
    <x v="146"/>
    <n v="386.96"/>
    <n v="937.46"/>
    <n v="0.26600000000000001"/>
    <n v="41"/>
    <n v="28211.92124"/>
    <n v="15865.359999999999"/>
    <n v="12346.561240000001"/>
    <n v="0.43763631462626335"/>
  </r>
  <r>
    <s v="ORD-2025-946490"/>
    <x v="139"/>
    <d v="2024-03-04T00:00:00"/>
    <n v="17"/>
    <s v="QUARTER 1"/>
    <s v="Americas"/>
    <x v="5"/>
    <s v="Montreal"/>
    <s v="Non-Profit"/>
    <s v="Online"/>
    <s v="D. Smith"/>
    <x v="6"/>
    <x v="147"/>
    <n v="1350.98"/>
    <n v="2210.4"/>
    <n v="0.26300000000000001"/>
    <n v="6"/>
    <n v="9774.3888000000006"/>
    <n v="8105.88"/>
    <n v="1668.5088000000005"/>
    <n v="0.17070211080615091"/>
  </r>
  <r>
    <s v="ORD-2023-343322"/>
    <x v="4"/>
    <d v="2023-09-12T00:00:00"/>
    <n v="24"/>
    <s v="QUARTER 3"/>
    <s v="Americas"/>
    <x v="5"/>
    <s v="Vancouver"/>
    <s v="Enterprise"/>
    <s v="Online"/>
    <s v="I. Johnson"/>
    <x v="4"/>
    <x v="148"/>
    <n v="1183.95"/>
    <n v="1503.53"/>
    <n v="0.24099999999999999"/>
    <n v="16"/>
    <n v="18258.868320000001"/>
    <n v="18943.2"/>
    <n v="-684.33167999999932"/>
    <n v="-3.7479413729623705E-2"/>
  </r>
  <r>
    <s v="ORD-2024-419248"/>
    <x v="140"/>
    <d v="2025-08-26T00:00:00"/>
    <n v="6"/>
    <s v="QUARTER 3"/>
    <s v="Americas"/>
    <x v="3"/>
    <s v="New York"/>
    <s v="Corporate"/>
    <s v="Direct"/>
    <s v="M. Rossi"/>
    <x v="1"/>
    <x v="149"/>
    <n v="1304.95"/>
    <n v="1712.03"/>
    <n v="0.21199999999999999"/>
    <n v="8"/>
    <n v="10792.637119999999"/>
    <n v="10439.6"/>
    <n v="353.03711999999905"/>
    <n v="3.2710922833287949E-2"/>
  </r>
  <r>
    <s v="ORD-2024-555229"/>
    <x v="18"/>
    <d v="2024-03-29T00:00:00"/>
    <n v="18"/>
    <s v="QUARTER 1"/>
    <s v="Americas"/>
    <x v="3"/>
    <s v="New York"/>
    <s v="Corporate"/>
    <s v="Retail"/>
    <s v="M. Rossi"/>
    <x v="3"/>
    <x v="150"/>
    <n v="710.98"/>
    <n v="1481.45"/>
    <n v="0.21099999999999999"/>
    <n v="9"/>
    <n v="10519.776450000001"/>
    <n v="6398.82"/>
    <n v="4120.9564500000015"/>
    <n v="0.39173422264120461"/>
  </r>
  <r>
    <s v="ORD-2023-215819"/>
    <x v="141"/>
    <d v="2025-02-06T00:00:00"/>
    <n v="27"/>
    <s v="QUARTER 1"/>
    <s v="Americas"/>
    <x v="4"/>
    <s v="Brasília"/>
    <s v="Non-Profit"/>
    <s v="Retail"/>
    <s v="B. Chen"/>
    <x v="6"/>
    <x v="151"/>
    <n v="725.62"/>
    <n v="1559.19"/>
    <n v="0.19"/>
    <n v="12"/>
    <n v="15155.326800000001"/>
    <n v="8707.44"/>
    <n v="6447.8868000000002"/>
    <n v="0.42545349797405885"/>
  </r>
  <r>
    <s v="ORD-2024-605518"/>
    <x v="142"/>
    <d v="2024-06-13T00:00:00"/>
    <n v="14"/>
    <s v="QUARTER 2"/>
    <s v="Americas"/>
    <x v="3"/>
    <s v="San Francisco"/>
    <s v="Small Business"/>
    <s v="Marketplace"/>
    <s v="F. Müller"/>
    <x v="2"/>
    <x v="152"/>
    <n v="157.78"/>
    <n v="361.1"/>
    <n v="0.187"/>
    <n v="9"/>
    <n v="2642.1686999999997"/>
    <n v="1420.02"/>
    <n v="1222.1486999999997"/>
    <n v="0.46255513510549112"/>
  </r>
  <r>
    <s v="ORD-2023-107265"/>
    <x v="143"/>
    <d v="2023-10-02T00:00:00"/>
    <n v="15"/>
    <s v="QUARTER 3"/>
    <s v="Americas"/>
    <x v="4"/>
    <s v="Rio de Janeiro"/>
    <s v="Small Business"/>
    <s v="Retail"/>
    <s v="B. Chen"/>
    <x v="6"/>
    <x v="153"/>
    <n v="689.33"/>
    <n v="668.27"/>
    <n v="0.186"/>
    <n v="13"/>
    <n v="7071.6331400000008"/>
    <n v="8961.2900000000009"/>
    <n v="-1889.6568600000001"/>
    <n v="-0.26721647214861033"/>
  </r>
  <r>
    <s v="ORD-2023-239789"/>
    <x v="144"/>
    <d v="2023-12-26T00:00:00"/>
    <n v="23"/>
    <s v="QUARTER 4"/>
    <s v="Americas"/>
    <x v="4"/>
    <s v="Rio de Janeiro"/>
    <s v="Education"/>
    <s v="Retail"/>
    <s v="O. Wang"/>
    <x v="2"/>
    <x v="154"/>
    <n v="1303.1099999999999"/>
    <n v="1145.67"/>
    <n v="0.184"/>
    <n v="13"/>
    <n v="12153.267360000002"/>
    <n v="16940.43"/>
    <n v="-4787.1626399999986"/>
    <n v="-0.39389922875851208"/>
  </r>
  <r>
    <s v="ORD-2025-415018"/>
    <x v="145"/>
    <d v="2025-06-09T00:00:00"/>
    <n v="22"/>
    <s v="QUARTER 2"/>
    <s v="Americas"/>
    <x v="3"/>
    <s v="New York"/>
    <s v="Consumer"/>
    <m/>
    <s v="H. Kim"/>
    <x v="1"/>
    <x v="155"/>
    <n v="382.96"/>
    <n v="552.84"/>
    <n v="0.17599999999999999"/>
    <n v="8"/>
    <n v="3644.3212800000006"/>
    <n v="3063.68"/>
    <n v="580.64128000000073"/>
    <n v="0.15932768693763483"/>
  </r>
  <r>
    <s v="ORD-2024-215294"/>
    <x v="19"/>
    <d v="2024-07-14T00:00:00"/>
    <n v="14"/>
    <s v="QUARTER 2"/>
    <s v="Americas"/>
    <x v="4"/>
    <s v="Brasília"/>
    <s v="Education"/>
    <s v="Online"/>
    <s v="C. Otieno"/>
    <x v="5"/>
    <x v="156"/>
    <n v="1491.85"/>
    <n v="2583.02"/>
    <n v="0.16800000000000001"/>
    <n v="4"/>
    <n v="8596.2905599999995"/>
    <n v="5967.4"/>
    <n v="2628.8905599999998"/>
    <n v="0.30581685689321325"/>
  </r>
  <r>
    <s v="ORD-2023-912395"/>
    <x v="146"/>
    <d v="2023-08-25T00:00:00"/>
    <n v="30"/>
    <s v="QUARTER 3"/>
    <s v="Americas"/>
    <x v="3"/>
    <s v="New York"/>
    <s v="Consumer"/>
    <s v="Online"/>
    <s v="M. Rossi"/>
    <x v="5"/>
    <x v="157"/>
    <n v="1261.48"/>
    <n v="1643.18"/>
    <n v="0.151"/>
    <n v="23"/>
    <n v="32086.37586"/>
    <n v="29014.04"/>
    <n v="3072.3358599999992"/>
    <n v="9.5752037357079045E-2"/>
  </r>
  <r>
    <s v="ORD-2023-651638"/>
    <x v="147"/>
    <d v="2023-06-24T00:00:00"/>
    <n v="7"/>
    <s v="QUARTER 2"/>
    <s v="Americas"/>
    <x v="3"/>
    <s v="San Francisco"/>
    <s v="Corporate"/>
    <s v="Retail"/>
    <s v="I. Johnson"/>
    <x v="4"/>
    <x v="158"/>
    <n v="313.99"/>
    <n v="454.42"/>
    <n v="0.129"/>
    <n v="9"/>
    <n v="3562.1983800000003"/>
    <n v="2825.91"/>
    <n v="736.28838000000042"/>
    <n v="0.20669493988147858"/>
  </r>
  <r>
    <s v="ORD-2024-503082"/>
    <x v="148"/>
    <d v="2023-07-31T00:00:00"/>
    <n v="12"/>
    <s v="QUARTER 3"/>
    <s v="Americas"/>
    <x v="4"/>
    <s v="Rio de Janeiro"/>
    <s v="Corporate"/>
    <s v="Online"/>
    <s v="C. Otieno"/>
    <x v="3"/>
    <x v="159"/>
    <n v="1334.64"/>
    <n v="2273.42"/>
    <n v="0.11799999999999999"/>
    <n v="14"/>
    <n v="28072.190160000002"/>
    <n v="18684.960000000003"/>
    <n v="9387.2301599999992"/>
    <n v="0.33439607335575267"/>
  </r>
  <r>
    <s v="ORD-2023-434071"/>
    <x v="149"/>
    <d v="2024-08-17T00:00:00"/>
    <n v="13"/>
    <s v="QUARTER 3"/>
    <s v="Americas"/>
    <x v="3"/>
    <s v="Austin"/>
    <s v="Consumer"/>
    <s v="Marketplace"/>
    <s v="D. Smith"/>
    <x v="3"/>
    <x v="160"/>
    <n v="352.79"/>
    <n v="754.22"/>
    <n v="0.113"/>
    <n v="7"/>
    <n v="4682.9519799999998"/>
    <n v="2469.5300000000002"/>
    <n v="2213.4219799999996"/>
    <n v="0.47265528014233443"/>
  </r>
  <r>
    <s v="ORD-2023-374486"/>
    <x v="150"/>
    <d v="2023-06-23T00:00:00"/>
    <n v="-1"/>
    <s v="QUARTER 2"/>
    <s v="Americas"/>
    <x v="4"/>
    <s v="Rio de Janeiro"/>
    <s v="Non-Profit"/>
    <s v="Direct"/>
    <s v="E. Garcia"/>
    <x v="4"/>
    <x v="161"/>
    <n v="804.01"/>
    <n v="1405.07"/>
    <n v="9.6000000000000002E-2"/>
    <n v="8"/>
    <n v="10161.46624"/>
    <n v="6432.08"/>
    <n v="3729.3862399999998"/>
    <n v="0.36701260939287439"/>
  </r>
  <r>
    <s v="ORD-2024-925626"/>
    <x v="150"/>
    <d v="2023-06-22T00:00:00"/>
    <n v="-2"/>
    <s v="QUARTER 2"/>
    <s v="Americas"/>
    <x v="5"/>
    <s v="Toronto"/>
    <s v="Non-Profit"/>
    <s v="Online"/>
    <s v="M. Rossi"/>
    <x v="5"/>
    <x v="162"/>
    <n v="471.42"/>
    <n v="824.81"/>
    <n v="8.7999999999999995E-2"/>
    <n v="15"/>
    <n v="11283.400799999999"/>
    <n v="7071.3"/>
    <n v="4212.1007999999993"/>
    <n v="0.37330064531608231"/>
  </r>
  <r>
    <s v="ORD-2023-340056"/>
    <x v="151"/>
    <d v="2024-01-01T00:00:00"/>
    <n v="13"/>
    <s v="QUARTER 4"/>
    <s v="Americas"/>
    <x v="5"/>
    <s v="Toronto"/>
    <s v="Enterprise"/>
    <s v="Direct"/>
    <s v="K. Singh"/>
    <x v="3"/>
    <x v="163"/>
    <n v="856.1"/>
    <n v="901.48"/>
    <n v="5.6000000000000001E-2"/>
    <n v="17"/>
    <n v="14466.95104"/>
    <n v="14553.7"/>
    <n v="-86.748960000000807"/>
    <n v="-5.9963540182134192E-3"/>
  </r>
  <r>
    <s v="ORD-2023-689428"/>
    <x v="152"/>
    <d v="2025-02-15T00:00:00"/>
    <n v="-2"/>
    <s v="QUARTER 1"/>
    <s v="Americas"/>
    <x v="5"/>
    <s v="Toronto"/>
    <s v="Small Business"/>
    <s v="Distributor"/>
    <s v="D. Smith"/>
    <x v="0"/>
    <x v="164"/>
    <n v="1133.47"/>
    <n v="1698.75"/>
    <n v="4.2999999999999997E-2"/>
    <n v="5"/>
    <n v="8128.5187499999993"/>
    <n v="5667.35"/>
    <n v="2461.1687499999989"/>
    <n v="0.30278194904821976"/>
  </r>
  <r>
    <s v="ORD-2024-641220"/>
    <x v="153"/>
    <d v="2023-05-25T00:00:00"/>
    <n v="2"/>
    <s v="QUARTER 2"/>
    <s v="Americas"/>
    <x v="4"/>
    <s v="Rio de Janeiro"/>
    <s v="Enterprise"/>
    <s v="Distributor"/>
    <s v="M. Rossi"/>
    <x v="4"/>
    <x v="165"/>
    <n v="690.49"/>
    <n v="1290.29"/>
    <n v="4.2000000000000003E-2"/>
    <n v="22"/>
    <n v="27194.152039999997"/>
    <n v="15190.78"/>
    <n v="12003.372039999997"/>
    <n v="0.44139534199647718"/>
  </r>
  <r>
    <s v="ORD-2024-760799"/>
    <x v="154"/>
    <d v="2024-06-08T00:00:00"/>
    <n v="20"/>
    <s v="QUARTER 2"/>
    <s v="Americas"/>
    <x v="4"/>
    <s v="Brasília"/>
    <s v="Small Business"/>
    <s v="Marketplace"/>
    <s v="E. Garcia"/>
    <x v="3"/>
    <x v="166"/>
    <n v="1075.9000000000001"/>
    <n v="1242.1500000000001"/>
    <n v="1.2E-2"/>
    <n v="7"/>
    <n v="8590.7094000000016"/>
    <n v="7531.3000000000011"/>
    <n v="1059.4094000000005"/>
    <n v="0.12332036280961853"/>
  </r>
  <r>
    <s v="ORD-2024-500109"/>
    <x v="121"/>
    <d v="2024-05-23T00:00:00"/>
    <n v="5"/>
    <s v="QUARTER 2"/>
    <s v="Americas"/>
    <x v="3"/>
    <s v="Chicago"/>
    <s v="Enterprise"/>
    <s v="Direct"/>
    <s v="H. Kim"/>
    <x v="6"/>
    <x v="167"/>
    <n v="1274.5899999999999"/>
    <n v="2553.69"/>
    <n v="0.01"/>
    <n v="8"/>
    <n v="20225.2248"/>
    <n v="10196.719999999999"/>
    <n v="10028.504800000001"/>
    <n v="0.49584145042481803"/>
  </r>
  <r>
    <s v="ORD-2025-840976"/>
    <x v="155"/>
    <d v="2025-09-30T00:00:00"/>
    <n v="29"/>
    <s v="QUARTER 3"/>
    <s v="Americas"/>
    <x v="4"/>
    <s v="Brasília"/>
    <s v="Education"/>
    <s v="Direct"/>
    <s v="K. Singh"/>
    <x v="5"/>
    <x v="168"/>
    <n v="780.59"/>
    <n v="631.57000000000005"/>
    <n v="0"/>
    <n v="12"/>
    <n v="7578.84"/>
    <n v="9367.08"/>
    <n v="-1788.2399999999998"/>
    <n v="-0.23595167598207639"/>
  </r>
  <r>
    <s v="ORD-2024-868223"/>
    <x v="156"/>
    <d v="2024-05-27T00:00:00"/>
    <n v="10"/>
    <s v="QUARTER 2"/>
    <s v="Americas"/>
    <x v="3"/>
    <s v="Austin"/>
    <s v="Non-Profit"/>
    <s v="Direct"/>
    <s v="C. Otieno"/>
    <x v="2"/>
    <x v="169"/>
    <n v="1484.23"/>
    <n v="3472.81"/>
    <n v="0.25600000000000001"/>
    <n v="12"/>
    <n v="31005.24768"/>
    <n v="17810.760000000002"/>
    <n v="13194.487679999998"/>
    <n v="0.42555659661803413"/>
  </r>
  <r>
    <s v="ORD-2024-301260"/>
    <x v="157"/>
    <d v="2024-04-09T00:00:00"/>
    <n v="25"/>
    <s v="QUARTER 1"/>
    <s v="Americas"/>
    <x v="5"/>
    <s v="Vancouver"/>
    <s v="Consumer"/>
    <s v="Retail"/>
    <s v="F. Müller"/>
    <x v="3"/>
    <x v="170"/>
    <n v="648.64"/>
    <n v="815.19"/>
    <n v="0.22500000000000001"/>
    <n v="28"/>
    <n v="17689.623"/>
    <n v="18161.919999999998"/>
    <n v="-472.29699999999866"/>
    <n v="-2.6699099240272032E-2"/>
  </r>
  <r>
    <s v="ORD-2023-573656"/>
    <x v="158"/>
    <d v="2025-10-05T00:00:00"/>
    <n v="27"/>
    <s v="QUARTER 3"/>
    <s v="Americas"/>
    <x v="4"/>
    <s v="Rio de Janeiro"/>
    <s v="Education"/>
    <s v="Direct"/>
    <s v="C. Otieno"/>
    <x v="3"/>
    <x v="171"/>
    <n v="660.78"/>
    <n v="1630.39"/>
    <n v="0.218"/>
    <n v="13"/>
    <n v="16574.544740000001"/>
    <n v="8590.14"/>
    <n v="7984.4047400000018"/>
    <n v="0.48172694123724097"/>
  </r>
  <r>
    <s v="ORD-2024-500890"/>
    <x v="117"/>
    <d v="2024-03-11T00:00:00"/>
    <n v="22"/>
    <s v="QUARTER 1"/>
    <s v="Americas"/>
    <x v="4"/>
    <s v="São Paulo"/>
    <s v="Consumer"/>
    <s v="Retail"/>
    <s v="A. Patel"/>
    <x v="0"/>
    <x v="172"/>
    <n v="80.48"/>
    <n v="65.650000000000006"/>
    <n v="0.17599999999999999"/>
    <n v="13"/>
    <n v="703.2428000000001"/>
    <n v="1046.24"/>
    <n v="-342.99719999999991"/>
    <n v="-0.48773652570634191"/>
  </r>
  <r>
    <s v="ORD-2023-964434"/>
    <x v="159"/>
    <d v="2025-07-23T00:00:00"/>
    <n v="6"/>
    <s v="QUARTER 3"/>
    <s v="Americas"/>
    <x v="5"/>
    <s v="Vancouver"/>
    <s v="Consumer"/>
    <s v="Direct"/>
    <s v="H. Kim"/>
    <x v="0"/>
    <x v="173"/>
    <n v="1364.89"/>
    <n v="2757.54"/>
    <n v="0.17199999999999999"/>
    <n v="61"/>
    <n v="139277.83032000001"/>
    <n v="83258.290000000008"/>
    <n v="56019.54032"/>
    <n v="0.4022143379983118"/>
  </r>
  <r>
    <s v="ORD-2024-668926"/>
    <x v="160"/>
    <d v="2024-10-01T00:00:00"/>
    <n v="9"/>
    <s v="QUARTER 3"/>
    <s v="Americas"/>
    <x v="4"/>
    <s v="São Paulo"/>
    <s v="Non-Profit"/>
    <s v="Direct"/>
    <s v="K. Singh"/>
    <x v="3"/>
    <x v="174"/>
    <n v="1378.8"/>
    <n v="1952.04"/>
    <n v="0.159"/>
    <n v="19"/>
    <n v="31191.64716"/>
    <n v="26197.200000000001"/>
    <n v="4994.4471599999997"/>
    <n v="0.16012130216723058"/>
  </r>
  <r>
    <s v="ORD-2025-997421"/>
    <x v="100"/>
    <d v="2025-06-09T00:00:00"/>
    <n v="19"/>
    <s v="QUARTER 2"/>
    <s v="Americas"/>
    <x v="4"/>
    <s v="São Paulo"/>
    <s v="Non-Profit"/>
    <s v="Marketplace"/>
    <s v="A. Patel"/>
    <x v="0"/>
    <x v="175"/>
    <n v="1331.38"/>
    <n v="2309.56"/>
    <n v="0.14899999999999999"/>
    <n v="31"/>
    <n v="60928.502359999999"/>
    <n v="41272.780000000006"/>
    <n v="19655.722359999992"/>
    <n v="0.32260307735553528"/>
  </r>
  <r>
    <s v="ORD-2025-765220"/>
    <x v="161"/>
    <d v="2025-04-30T00:00:00"/>
    <n v="24"/>
    <s v="QUARTER 2"/>
    <s v="Americas"/>
    <x v="4"/>
    <s v="Brasília"/>
    <s v="Education"/>
    <s v="Direct"/>
    <s v="K. Singh"/>
    <x v="3"/>
    <x v="176"/>
    <n v="855.78"/>
    <n v="977.38"/>
    <n v="0.14699999999999999"/>
    <n v="38"/>
    <n v="31680.795320000001"/>
    <n v="32519.64"/>
    <n v="-838.84467999999833"/>
    <n v="-2.6478018355506307E-2"/>
  </r>
  <r>
    <s v="ORD-2024-947056"/>
    <x v="162"/>
    <d v="2023-02-26T00:00:00"/>
    <n v="-1"/>
    <s v="QUARTER 1"/>
    <s v="Americas"/>
    <x v="3"/>
    <s v="San Francisco"/>
    <s v="Non-Profit"/>
    <s v="Retail"/>
    <s v="L. Okafor"/>
    <x v="1"/>
    <x v="177"/>
    <n v="1015.91"/>
    <n v="2331.48"/>
    <n v="0.14599999999999999"/>
    <n v="26"/>
    <n v="51768.181920000003"/>
    <n v="26413.66"/>
    <n v="25354.521920000003"/>
    <n v="0.48977037592669626"/>
  </r>
  <r>
    <s v="ORD-2024-446699"/>
    <x v="163"/>
    <d v="2024-09-25T00:00:00"/>
    <n v="28"/>
    <s v="QUARTER 3"/>
    <s v="Americas"/>
    <x v="4"/>
    <s v="Rio de Janeiro"/>
    <s v="Non-Profit"/>
    <s v="Distributor"/>
    <s v="Unknown"/>
    <x v="5"/>
    <x v="178"/>
    <n v="1394.65"/>
    <n v="3144.1"/>
    <n v="0.13400000000000001"/>
    <n v="13"/>
    <n v="35396.277799999996"/>
    <n v="18130.45"/>
    <n v="17265.827799999995"/>
    <n v="0.4877865378263021"/>
  </r>
  <r>
    <s v="ORD-2023-517216"/>
    <x v="164"/>
    <d v="2024-04-24T00:00:00"/>
    <n v="25"/>
    <s v="QUARTER 1"/>
    <s v="Americas"/>
    <x v="3"/>
    <s v="Austin"/>
    <s v="Non-Profit"/>
    <s v="Online"/>
    <s v="G. Dubois"/>
    <x v="6"/>
    <x v="179"/>
    <n v="160.82"/>
    <n v="258.52"/>
    <n v="0.13"/>
    <n v="17"/>
    <n v="3823.5108"/>
    <n v="2733.94"/>
    <n v="1089.5708"/>
    <n v="0.28496605789631874"/>
  </r>
  <r>
    <s v="ORD-2024-964950"/>
    <x v="165"/>
    <d v="2024-03-23T00:00:00"/>
    <n v="21"/>
    <s v="QUARTER 1"/>
    <s v="Americas"/>
    <x v="3"/>
    <s v="Chicago"/>
    <s v="Small Business"/>
    <s v="Online"/>
    <s v="F. Müller"/>
    <x v="0"/>
    <x v="180"/>
    <n v="225.01"/>
    <n v="333.48"/>
    <n v="0.11899999999999999"/>
    <n v="12"/>
    <n v="3525.5505600000001"/>
    <n v="2700.12"/>
    <n v="825.43056000000024"/>
    <n v="0.23412813004729685"/>
  </r>
  <r>
    <s v="ORD-2025-649239"/>
    <x v="166"/>
    <d v="2025-01-24T00:00:00"/>
    <n v="7"/>
    <s v="QUARTER 1"/>
    <s v="Americas"/>
    <x v="3"/>
    <s v="Austin"/>
    <s v="Enterprise"/>
    <s v="Retail"/>
    <s v="G. Dubois"/>
    <x v="5"/>
    <x v="181"/>
    <n v="142.09"/>
    <n v="218.5"/>
    <n v="0.11899999999999999"/>
    <n v="11"/>
    <n v="2117.4834999999998"/>
    <n v="1562.99"/>
    <n v="554.49349999999981"/>
    <n v="0.26186437816398561"/>
  </r>
  <r>
    <s v="ORD-2023-521818"/>
    <x v="167"/>
    <d v="2023-01-30T00:00:00"/>
    <n v="8"/>
    <s v="QUARTER 1"/>
    <s v="Americas"/>
    <x v="3"/>
    <s v="San Francisco"/>
    <s v="Small Business"/>
    <s v="Marketplace"/>
    <s v="A. Patel"/>
    <x v="1"/>
    <x v="182"/>
    <n v="413.52"/>
    <n v="1004.34"/>
    <n v="0.111"/>
    <n v="18"/>
    <n v="16071.44868"/>
    <n v="7443.36"/>
    <n v="8628.0886800000007"/>
    <n v="0.53685817948304593"/>
  </r>
  <r>
    <s v="ORD-2024-423853"/>
    <x v="168"/>
    <d v="2025-05-06T00:00:00"/>
    <n v="12"/>
    <s v="QUARTER 2"/>
    <s v="Americas"/>
    <x v="4"/>
    <s v="Brasília"/>
    <s v="Consumer"/>
    <s v="Distributor"/>
    <s v="C. Otieno"/>
    <x v="2"/>
    <x v="183"/>
    <n v="394.13"/>
    <n v="932.29"/>
    <n v="0.109"/>
    <n v="7"/>
    <n v="5814.6927299999998"/>
    <n v="2758.91"/>
    <n v="3055.7827299999999"/>
    <n v="0.5255278089303268"/>
  </r>
  <r>
    <s v="ORD-2024-988736"/>
    <x v="169"/>
    <d v="2025-08-04T00:00:00"/>
    <n v="21"/>
    <s v="QUARTER 3"/>
    <s v="Americas"/>
    <x v="5"/>
    <s v="Montreal"/>
    <s v="Consumer"/>
    <s v="Marketplace"/>
    <s v="H. Kim"/>
    <x v="3"/>
    <x v="184"/>
    <n v="90.3"/>
    <n v="131.76"/>
    <n v="0.10199999999999999"/>
    <n v="15"/>
    <n v="1774.8072"/>
    <n v="1354.5"/>
    <n v="420.30719999999997"/>
    <n v="0.23681851189244668"/>
  </r>
  <r>
    <s v="ORD-2024-444710"/>
    <x v="78"/>
    <d v="2023-05-26T00:00:00"/>
    <n v="22"/>
    <s v="QUARTER 2"/>
    <s v="Americas"/>
    <x v="3"/>
    <s v="San Francisco"/>
    <s v="Enterprise"/>
    <s v="Distributor"/>
    <s v="J. Njeri"/>
    <x v="1"/>
    <x v="185"/>
    <n v="249.71"/>
    <n v="361.33"/>
    <n v="9.4E-2"/>
    <n v="12"/>
    <n v="3928.3797600000003"/>
    <n v="2996.52"/>
    <n v="931.85976000000028"/>
    <n v="0.23721223937881206"/>
  </r>
  <r>
    <s v="ORD-2025-487261"/>
    <x v="170"/>
    <d v="2025-03-31T00:00:00"/>
    <n v="25"/>
    <s v="QUARTER 1"/>
    <s v="Americas"/>
    <x v="4"/>
    <s v="Brasília"/>
    <s v="Non-Profit"/>
    <s v="Online"/>
    <s v="J. Njeri"/>
    <x v="0"/>
    <x v="186"/>
    <n v="331.57"/>
    <n v="548.4"/>
    <n v="9.4E-2"/>
    <n v="10"/>
    <n v="4968.5039999999999"/>
    <n v="3315.7"/>
    <n v="1652.8040000000001"/>
    <n v="0.33265626836568918"/>
  </r>
  <r>
    <s v="ORD-2023-562894"/>
    <x v="171"/>
    <d v="2023-03-25T00:00:00"/>
    <n v="30"/>
    <s v="QUARTER 1"/>
    <s v="Americas"/>
    <x v="5"/>
    <s v="Montreal"/>
    <s v="Enterprise"/>
    <m/>
    <s v="D. Smith"/>
    <x v="2"/>
    <x v="187"/>
    <n v="1242.6600000000001"/>
    <n v="1794.07"/>
    <n v="8.8999999999999996E-2"/>
    <n v="16"/>
    <n v="26150.364320000001"/>
    <n v="19882.560000000001"/>
    <n v="6267.8043199999993"/>
    <n v="0.23968325042440553"/>
  </r>
  <r>
    <s v="ORD-2023-173313"/>
    <x v="172"/>
    <d v="2023-08-19T00:00:00"/>
    <n v="17"/>
    <s v="QUARTER 3"/>
    <s v="Americas"/>
    <x v="5"/>
    <s v="Vancouver"/>
    <s v="Corporate"/>
    <s v="Distributor"/>
    <s v="F. Müller"/>
    <x v="1"/>
    <x v="188"/>
    <n v="175.38"/>
    <n v="347.9"/>
    <n v="7.1999999999999995E-2"/>
    <n v="43"/>
    <n v="13882.6016"/>
    <n v="7541.34"/>
    <n v="6341.2615999999998"/>
    <n v="0.45677761148169804"/>
  </r>
  <r>
    <s v="ORD-2023-987700"/>
    <x v="173"/>
    <d v="2023-04-16T00:00:00"/>
    <n v="11"/>
    <s v="QUARTER 2"/>
    <s v="Americas"/>
    <x v="5"/>
    <s v="Vancouver"/>
    <s v="Non-Profit"/>
    <s v="Direct"/>
    <s v="O. Wang"/>
    <x v="3"/>
    <x v="189"/>
    <n v="213.1"/>
    <n v="501.31"/>
    <n v="5.6000000000000001E-2"/>
    <n v="15"/>
    <n v="7098.5495999999994"/>
    <n v="3196.5"/>
    <n v="3902.0495999999994"/>
    <n v="0.54969674368409005"/>
  </r>
  <r>
    <s v="ORD-2023-286994"/>
    <x v="174"/>
    <d v="2023-03-09T00:00:00"/>
    <n v="13"/>
    <s v="QUARTER 1"/>
    <s v="Americas"/>
    <x v="3"/>
    <s v="New York"/>
    <s v="Enterprise"/>
    <s v="Retail"/>
    <s v="M. Rossi"/>
    <x v="0"/>
    <x v="190"/>
    <n v="6.85"/>
    <n v="10.18"/>
    <n v="4.7E-2"/>
    <n v="10"/>
    <n v="97.0154"/>
    <n v="68.5"/>
    <n v="28.5154"/>
    <n v="0.2939265312517394"/>
  </r>
  <r>
    <s v="ORD-2023-890605"/>
    <x v="107"/>
    <d v="2024-06-06T00:00:00"/>
    <n v="14"/>
    <s v="QUARTER 2"/>
    <s v="Americas"/>
    <x v="4"/>
    <s v="Rio de Janeiro"/>
    <s v="Non-Profit"/>
    <s v="Online"/>
    <s v="I. Johnson"/>
    <x v="1"/>
    <x v="191"/>
    <n v="51.13"/>
    <n v="57.53"/>
    <n v="4.4999999999999998E-2"/>
    <n v="16"/>
    <n v="879.05840000000001"/>
    <n v="818.08"/>
    <n v="60.978399999999965"/>
    <n v="6.9367859973808302E-2"/>
  </r>
  <r>
    <s v="ORD-2023-580751"/>
    <x v="175"/>
    <d v="2023-06-24T00:00:00"/>
    <n v="11"/>
    <s v="QUARTER 2"/>
    <s v="Americas"/>
    <x v="5"/>
    <s v="Toronto"/>
    <s v="Corporate"/>
    <s v="Direct"/>
    <s v="C. Otieno"/>
    <x v="4"/>
    <x v="192"/>
    <n v="247.07"/>
    <n v="495.19"/>
    <n v="2.8000000000000001E-2"/>
    <n v="4"/>
    <n v="1925.29872"/>
    <n v="988.28"/>
    <n v="937.01872000000003"/>
    <n v="0.48668744764968214"/>
  </r>
  <r>
    <s v="ORD-2024-438404"/>
    <x v="176"/>
    <d v="2024-10-18T00:00:00"/>
    <n v="25"/>
    <s v="QUARTER 3"/>
    <s v="Americas"/>
    <x v="5"/>
    <s v="Vancouver"/>
    <s v="Small Business"/>
    <s v="Retail"/>
    <s v="N. Brown"/>
    <x v="2"/>
    <x v="193"/>
    <n v="1297"/>
    <n v="2411.52"/>
    <n v="2.1000000000000001E-2"/>
    <n v="18"/>
    <n v="42495.805439999996"/>
    <n v="23346"/>
    <n v="19149.805439999996"/>
    <n v="0.45062813239385913"/>
  </r>
  <r>
    <s v="ORD-2023-271836"/>
    <x v="177"/>
    <d v="2023-02-12T00:00:00"/>
    <n v="5"/>
    <s v="QUARTER 1"/>
    <s v="Americas"/>
    <x v="4"/>
    <s v="São Paulo"/>
    <s v="Education"/>
    <s v="Marketplace"/>
    <s v="N. Brown"/>
    <x v="0"/>
    <x v="194"/>
    <n v="948.55"/>
    <n v="2089.16"/>
    <n v="7.0000000000000001E-3"/>
    <n v="12"/>
    <n v="24894.430559999997"/>
    <n v="11382.599999999999"/>
    <n v="13511.830559999999"/>
    <n v="0.54276519912492427"/>
  </r>
  <r>
    <s v="ORD-2023-586275"/>
    <x v="27"/>
    <d v="2023-09-07T00:00:00"/>
    <n v="23"/>
    <s v="QUARTER 3"/>
    <s v="Americas"/>
    <x v="3"/>
    <s v="New York"/>
    <s v="Enterprise"/>
    <s v="Direct"/>
    <s v="K. Singh"/>
    <x v="2"/>
    <x v="195"/>
    <n v="590.33000000000004"/>
    <n v="973.04"/>
    <n v="0"/>
    <n v="26"/>
    <n v="25299.040000000001"/>
    <n v="15348.580000000002"/>
    <n v="9950.4599999999991"/>
    <n v="0.39331373838691108"/>
  </r>
  <r>
    <s v="ORD-2023-769774"/>
    <x v="178"/>
    <d v="2024-10-03T00:00:00"/>
    <n v="8"/>
    <s v="QUARTER 3"/>
    <s v="Americas"/>
    <x v="5"/>
    <s v="Toronto"/>
    <s v="Consumer"/>
    <s v="Direct"/>
    <s v="E. Garcia"/>
    <x v="4"/>
    <x v="196"/>
    <n v="558.19000000000005"/>
    <n v="1031.6400000000001"/>
    <n v="0"/>
    <n v="21"/>
    <n v="21664.440000000002"/>
    <n v="11721.990000000002"/>
    <n v="9942.4500000000007"/>
    <n v="0.45892947152107322"/>
  </r>
  <r>
    <s v="ORD-2023-961864"/>
    <x v="48"/>
    <d v="2023-07-18T00:00:00"/>
    <n v="25"/>
    <s v="QUARTER 2"/>
    <s v="Americas"/>
    <x v="5"/>
    <s v="Vancouver"/>
    <s v="Enterprise"/>
    <s v="Distributor"/>
    <s v="N. Brown"/>
    <x v="2"/>
    <x v="197"/>
    <n v="807.02"/>
    <n v="1435.54"/>
    <n v="0"/>
    <n v="23"/>
    <n v="33017.42"/>
    <n v="18561.46"/>
    <n v="14455.96"/>
    <n v="0.43782827368098415"/>
  </r>
  <r>
    <s v="ORD-2025-169093"/>
    <x v="179"/>
    <d v="2024-02-20T00:00:00"/>
    <n v="0"/>
    <s v="QUARTER 1"/>
    <s v="Americas"/>
    <x v="3"/>
    <s v="New York"/>
    <s v="Enterprise"/>
    <s v="Marketplace"/>
    <s v="C. Otieno"/>
    <x v="1"/>
    <x v="198"/>
    <n v="1407.05"/>
    <n v="2858.93"/>
    <n v="0"/>
    <n v="12"/>
    <n v="34307.159999999996"/>
    <n v="16884.599999999999"/>
    <n v="17422.559999999998"/>
    <n v="0.50784034586366222"/>
  </r>
  <r>
    <s v="ORD-2024-333192"/>
    <x v="180"/>
    <d v="2023-04-11T00:00:00"/>
    <n v="-2"/>
    <s v="QUARTER 2"/>
    <s v="Americas"/>
    <x v="3"/>
    <s v="San Francisco"/>
    <s v="Education"/>
    <s v="Distributor"/>
    <s v="G. Dubois"/>
    <x v="1"/>
    <x v="199"/>
    <n v="32.1"/>
    <n v="70.599999999999994"/>
    <n v="0.28199999999999997"/>
    <n v="22"/>
    <n v="1115.1975999999997"/>
    <n v="706.2"/>
    <n v="408.99759999999969"/>
    <n v="0.36674899587301818"/>
  </r>
  <r>
    <s v="ORD-2024-594527"/>
    <x v="181"/>
    <d v="2023-02-06T00:00:00"/>
    <n v="8"/>
    <s v="QUARTER 1"/>
    <s v="Americas"/>
    <x v="4"/>
    <s v="Brasília"/>
    <s v="Corporate"/>
    <s v="Marketplace"/>
    <s v="D. Smith"/>
    <x v="3"/>
    <x v="200"/>
    <n v="41.84"/>
    <n v="86.2"/>
    <n v="0.22600000000000001"/>
    <n v="27"/>
    <n v="1801.4076000000002"/>
    <n v="1129.68"/>
    <n v="671.72760000000017"/>
    <n v="0.37289039970742882"/>
  </r>
  <r>
    <s v="ORD-2023-888245"/>
    <x v="182"/>
    <d v="2024-01-01T00:00:00"/>
    <n v="-1"/>
    <s v="QUARTER 1"/>
    <s v="Americas"/>
    <x v="3"/>
    <s v="Chicago"/>
    <s v="Education"/>
    <s v="Direct"/>
    <s v="B. Chen"/>
    <x v="1"/>
    <x v="201"/>
    <n v="404.77"/>
    <n v="433.88"/>
    <n v="0.215"/>
    <n v="22"/>
    <n v="7493.1076000000012"/>
    <n v="8904.9399999999987"/>
    <n v="-1411.8323999999975"/>
    <n v="-0.18841747314558746"/>
  </r>
  <r>
    <s v="ORD-2023-713375"/>
    <x v="183"/>
    <d v="2023-10-02T00:00:00"/>
    <n v="7"/>
    <s v="QUARTER 3"/>
    <s v="Americas"/>
    <x v="3"/>
    <s v="New York"/>
    <s v="Education"/>
    <s v="Distributor"/>
    <s v="I. Johnson"/>
    <x v="5"/>
    <x v="202"/>
    <n v="145.58000000000001"/>
    <n v="228.15"/>
    <n v="0.20399999999999999"/>
    <n v="5"/>
    <n v="908.03700000000003"/>
    <n v="727.90000000000009"/>
    <n v="180.13699999999994"/>
    <n v="0.19838068272548359"/>
  </r>
  <r>
    <s v="ORD-2025-653781"/>
    <x v="184"/>
    <d v="2023-11-16T00:00:00"/>
    <n v="25"/>
    <s v="QUARTER 4"/>
    <s v="Americas"/>
    <x v="5"/>
    <s v="Toronto"/>
    <s v="Small Business"/>
    <s v="Marketplace"/>
    <s v="I. Johnson"/>
    <x v="6"/>
    <x v="203"/>
    <n v="1373.31"/>
    <n v="3154.14"/>
    <n v="0.2"/>
    <n v="11"/>
    <n v="27756.432000000001"/>
    <n v="15106.41"/>
    <n v="12650.022000000001"/>
    <n v="0.45575101295440279"/>
  </r>
  <r>
    <s v="ORD-2024-164288"/>
    <x v="185"/>
    <d v="2024-12-26T00:00:00"/>
    <n v="5"/>
    <s v="QUARTER 4"/>
    <s v="Americas"/>
    <x v="3"/>
    <s v="San Francisco"/>
    <s v="Consumer"/>
    <s v="Marketplace"/>
    <s v="M. Rossi"/>
    <x v="4"/>
    <x v="204"/>
    <n v="699.57"/>
    <n v="572.71"/>
    <n v="0.192"/>
    <n v="26"/>
    <n v="12031.491680000001"/>
    <n v="18188.82"/>
    <n v="-6157.3283199999987"/>
    <n v="-0.51176765805651114"/>
  </r>
  <r>
    <s v="ORD-2024-817997"/>
    <x v="186"/>
    <d v="2025-05-03T00:00:00"/>
    <n v="16"/>
    <s v="QUARTER 2"/>
    <s v="Americas"/>
    <x v="4"/>
    <s v="Rio de Janeiro"/>
    <s v="Consumer"/>
    <s v="Distributor"/>
    <s v="J. Njeri"/>
    <x v="1"/>
    <x v="205"/>
    <n v="168.68"/>
    <n v="413.34"/>
    <n v="0.186"/>
    <n v="7"/>
    <n v="2355.2113199999999"/>
    <n v="1180.76"/>
    <n v="1174.4513199999999"/>
    <n v="0.49866069767361682"/>
  </r>
  <r>
    <s v="ORD-2024-389336"/>
    <x v="187"/>
    <d v="2024-06-02T00:00:00"/>
    <n v="13"/>
    <s v="QUARTER 2"/>
    <s v="Americas"/>
    <x v="5"/>
    <s v="Vancouver"/>
    <s v="Enterprise"/>
    <s v="Direct"/>
    <s v="K. Singh"/>
    <x v="0"/>
    <x v="206"/>
    <n v="675.43"/>
    <n v="996.36"/>
    <n v="0.182"/>
    <n v="22"/>
    <n v="17930.494560000003"/>
    <n v="14859.46"/>
    <n v="3071.0345600000037"/>
    <n v="0.17127439233332575"/>
  </r>
  <r>
    <s v="ORD-2024-170021"/>
    <x v="188"/>
    <d v="2024-08-15T00:00:00"/>
    <n v="3"/>
    <s v="QUARTER 3"/>
    <s v="Americas"/>
    <x v="3"/>
    <s v="Chicago"/>
    <s v="Corporate"/>
    <s v="Distributor"/>
    <s v="D. Smith"/>
    <x v="4"/>
    <x v="207"/>
    <n v="850.7"/>
    <n v="1118.56"/>
    <n v="0.18"/>
    <n v="19"/>
    <n v="17427.164800000002"/>
    <n v="16163.300000000001"/>
    <n v="1263.8648000000012"/>
    <n v="7.2522685962090688E-2"/>
  </r>
  <r>
    <s v="ORD-2024-140633"/>
    <x v="189"/>
    <d v="2024-08-03T00:00:00"/>
    <n v="21"/>
    <s v="QUARTER 3"/>
    <s v="Americas"/>
    <x v="4"/>
    <s v="Rio de Janeiro"/>
    <s v="Corporate"/>
    <s v="Marketplace"/>
    <s v="M. Rossi"/>
    <x v="3"/>
    <x v="208"/>
    <n v="702.98"/>
    <n v="1104.8"/>
    <n v="0.17499999999999999"/>
    <n v="12"/>
    <n v="10937.519999999999"/>
    <n v="8435.76"/>
    <n v="2501.7599999999984"/>
    <n v="0.22873192460448061"/>
  </r>
  <r>
    <s v="ORD-2024-197852"/>
    <x v="190"/>
    <d v="2023-11-28T00:00:00"/>
    <n v="18"/>
    <s v="QUARTER 4"/>
    <s v="Americas"/>
    <x v="4"/>
    <s v="Brasília"/>
    <s v="Education"/>
    <s v="Direct"/>
    <s v="L. Okafor"/>
    <x v="5"/>
    <x v="209"/>
    <n v="388.51"/>
    <n v="776.46"/>
    <n v="0.157"/>
    <n v="12"/>
    <n v="7854.6693599999999"/>
    <n v="4662.12"/>
    <n v="3192.54936"/>
    <n v="0.40645241876864946"/>
  </r>
  <r>
    <s v="ORD-2025-640677"/>
    <x v="191"/>
    <d v="2025-05-06T00:00:00"/>
    <n v="27"/>
    <s v="QUARTER 2"/>
    <s v="Americas"/>
    <x v="4"/>
    <s v="Brasília"/>
    <s v="Enterprise"/>
    <s v="Direct"/>
    <s v="F. Müller"/>
    <x v="6"/>
    <x v="210"/>
    <n v="264.19"/>
    <n v="620.92999999999995"/>
    <n v="0.14199999999999999"/>
    <n v="12"/>
    <n v="6393.0952799999995"/>
    <n v="3170.2799999999997"/>
    <n v="3222.8152799999998"/>
    <n v="0.50410875152794532"/>
  </r>
  <r>
    <s v="ORD-2024-948800"/>
    <x v="192"/>
    <d v="2024-01-27T00:00:00"/>
    <n v="2"/>
    <s v="QUARTER 1"/>
    <s v="Americas"/>
    <x v="4"/>
    <s v="São Paulo"/>
    <s v="Non-Profit"/>
    <s v="Direct"/>
    <s v="N. Brown"/>
    <x v="6"/>
    <x v="211"/>
    <n v="1410.97"/>
    <n v="1650.75"/>
    <n v="0.13500000000000001"/>
    <n v="6"/>
    <n v="8567.3924999999999"/>
    <n v="8465.82"/>
    <n v="101.57250000000022"/>
    <n v="1.1855707556295596E-2"/>
  </r>
  <r>
    <s v="ORD-2023-949710"/>
    <x v="193"/>
    <d v="2025-08-30T00:00:00"/>
    <n v="20"/>
    <s v="QUARTER 3"/>
    <s v="Americas"/>
    <x v="3"/>
    <s v="San Francisco"/>
    <s v="Corporate"/>
    <s v="Retail"/>
    <s v="K. Singh"/>
    <x v="4"/>
    <x v="212"/>
    <n v="933.29"/>
    <n v="1456.81"/>
    <n v="0.123"/>
    <n v="13"/>
    <n v="16609.090809999998"/>
    <n v="12132.77"/>
    <n v="4476.3208099999974"/>
    <n v="0.26951028573489977"/>
  </r>
  <r>
    <s v="ORD-2024-350100"/>
    <x v="194"/>
    <d v="2024-07-31T00:00:00"/>
    <n v="2"/>
    <s v="QUARTER 3"/>
    <s v="Americas"/>
    <x v="3"/>
    <s v="New York"/>
    <s v="Education"/>
    <s v="Direct"/>
    <s v="I. Johnson"/>
    <x v="4"/>
    <x v="213"/>
    <n v="798.97"/>
    <n v="1814.06"/>
    <n v="0.122"/>
    <n v="16"/>
    <n v="25483.91488"/>
    <n v="12783.52"/>
    <n v="12700.39488"/>
    <n v="0.49836906691159061"/>
  </r>
  <r>
    <s v="ORD-2023-813340"/>
    <x v="53"/>
    <d v="2025-07-23T00:00:00"/>
    <n v="29"/>
    <s v="QUARTER 2"/>
    <s v="Americas"/>
    <x v="5"/>
    <s v="Vancouver"/>
    <s v="Non-Profit"/>
    <s v="Direct"/>
    <s v="I. Johnson"/>
    <x v="4"/>
    <x v="214"/>
    <n v="255.4"/>
    <n v="322.70999999999998"/>
    <n v="0.115"/>
    <n v="16"/>
    <n v="4569.5735999999997"/>
    <n v="4086.4"/>
    <n v="483.17359999999962"/>
    <n v="0.10573713048412212"/>
  </r>
  <r>
    <s v="ORD-2023-581799"/>
    <x v="195"/>
    <d v="2024-12-29T00:00:00"/>
    <n v="2"/>
    <s v="QUARTER 4"/>
    <s v="Americas"/>
    <x v="5"/>
    <s v="Vancouver"/>
    <s v="Enterprise"/>
    <s v="Direct"/>
    <s v="C. Otieno"/>
    <x v="5"/>
    <x v="215"/>
    <n v="1146.72"/>
    <n v="2074.34"/>
    <n v="0.111"/>
    <n v="8"/>
    <n v="14752.706080000002"/>
    <n v="9173.76"/>
    <n v="5578.9460800000015"/>
    <n v="0.37816425337472737"/>
  </r>
  <r>
    <s v="ORD-2023-854471"/>
    <x v="196"/>
    <d v="2025-02-03T00:00:00"/>
    <n v="14"/>
    <s v="QUARTER 1"/>
    <s v="Americas"/>
    <x v="4"/>
    <s v="Brasília"/>
    <s v="Enterprise"/>
    <s v="Direct"/>
    <s v="F. Müller"/>
    <x v="0"/>
    <x v="216"/>
    <n v="974.11"/>
    <n v="880.99"/>
    <n v="0.111"/>
    <n v="10"/>
    <n v="7832.0010999999995"/>
    <n v="9741.1"/>
    <n v="-1909.0989000000009"/>
    <n v="-0.2437562093805121"/>
  </r>
  <r>
    <s v="ORD-2025-843974"/>
    <x v="197"/>
    <d v="2025-08-05T00:00:00"/>
    <n v="16"/>
    <s v="QUARTER 3"/>
    <s v="Americas"/>
    <x v="4"/>
    <s v="Brasília"/>
    <s v="Enterprise"/>
    <s v="Distributor"/>
    <s v="G. Dubois"/>
    <x v="5"/>
    <x v="217"/>
    <n v="1068.17"/>
    <n v="2375.37"/>
    <n v="0.109"/>
    <n v="18"/>
    <n v="38096.18406"/>
    <n v="19227.060000000001"/>
    <n v="18869.124059999998"/>
    <n v="0.49530220744108822"/>
  </r>
  <r>
    <s v="ORD-2024-678110"/>
    <x v="198"/>
    <d v="2024-11-08T00:00:00"/>
    <n v="3"/>
    <s v="QUARTER 4"/>
    <s v="Americas"/>
    <x v="5"/>
    <s v="Toronto"/>
    <s v="Education"/>
    <s v="Online"/>
    <s v="O. Wang"/>
    <x v="0"/>
    <x v="218"/>
    <n v="1020.4"/>
    <n v="1184.71"/>
    <n v="0.106"/>
    <n v="16"/>
    <n v="16946.091840000001"/>
    <n v="16326.4"/>
    <n v="619.69184000000132"/>
    <n v="3.6568422138328345E-2"/>
  </r>
  <r>
    <s v="ORD-2025-306903"/>
    <x v="183"/>
    <d v="2023-10-09T00:00:00"/>
    <n v="14"/>
    <s v="QUARTER 3"/>
    <s v="Americas"/>
    <x v="3"/>
    <s v="New York"/>
    <s v="Small Business"/>
    <s v="Retail"/>
    <s v="J. Njeri"/>
    <x v="6"/>
    <x v="219"/>
    <n v="1279.56"/>
    <n v="3083.8"/>
    <n v="0.106"/>
    <n v="5"/>
    <n v="13784.586000000001"/>
    <n v="6397.7999999999993"/>
    <n v="7386.7860000000019"/>
    <n v="0.53587289455047848"/>
  </r>
  <r>
    <s v="ORD-2024-398783"/>
    <x v="199"/>
    <d v="2023-07-08T00:00:00"/>
    <n v="18"/>
    <s v="QUARTER 2"/>
    <s v="Americas"/>
    <x v="3"/>
    <s v="New York"/>
    <s v="Consumer"/>
    <s v="Direct"/>
    <s v="O. Wang"/>
    <x v="1"/>
    <x v="220"/>
    <n v="1145.53"/>
    <n v="1278.3"/>
    <n v="0.09"/>
    <n v="41"/>
    <n v="47693.373"/>
    <n v="46966.729999999996"/>
    <n v="726.64300000000367"/>
    <n v="1.5235722581416158E-2"/>
  </r>
  <r>
    <s v="ORD-2024-655710"/>
    <x v="200"/>
    <d v="2023-09-13T00:00:00"/>
    <n v="15"/>
    <s v="QUARTER 3"/>
    <s v="Americas"/>
    <x v="5"/>
    <s v="Vancouver"/>
    <s v="Small Business"/>
    <s v="Distributor"/>
    <s v="O. Wang"/>
    <x v="4"/>
    <x v="221"/>
    <n v="1287.6400000000001"/>
    <n v="2717.15"/>
    <n v="3.2000000000000001E-2"/>
    <n v="7"/>
    <n v="18411.4084"/>
    <n v="9013.4800000000014"/>
    <n v="9397.9283999999989"/>
    <n v="0.51044049405802105"/>
  </r>
  <r>
    <s v="ORD-2025-650841"/>
    <x v="201"/>
    <d v="2025-03-17T00:00:00"/>
    <n v="20"/>
    <s v="QUARTER 1"/>
    <s v="Americas"/>
    <x v="3"/>
    <s v="San Francisco"/>
    <s v="Non-Profit"/>
    <s v="Marketplace"/>
    <s v="H. Kim"/>
    <x v="2"/>
    <x v="222"/>
    <n v="1205.26"/>
    <n v="1696.35"/>
    <n v="1.9E-2"/>
    <n v="6"/>
    <n v="9984.7160999999978"/>
    <n v="7231.5599999999995"/>
    <n v="2753.1560999999983"/>
    <n v="0.27573704374028213"/>
  </r>
  <r>
    <s v="ORD-2024-257550"/>
    <x v="202"/>
    <d v="2023-06-21T00:00:00"/>
    <n v="28"/>
    <s v="QUARTER 2"/>
    <s v="Americas"/>
    <x v="3"/>
    <s v="Austin"/>
    <s v="Small Business"/>
    <s v="Marketplace"/>
    <s v="G. Dubois"/>
    <x v="3"/>
    <x v="223"/>
    <n v="813.97"/>
    <n v="1568.83"/>
    <n v="1.7000000000000001E-2"/>
    <n v="15"/>
    <n v="23132.398349999996"/>
    <n v="12209.550000000001"/>
    <n v="10922.848349999995"/>
    <n v="0.4721883215364911"/>
  </r>
  <r>
    <s v="ORD-2023-856322"/>
    <x v="203"/>
    <d v="2023-07-01T00:00:00"/>
    <n v="28"/>
    <s v="QUARTER 2"/>
    <s v="Americas"/>
    <x v="4"/>
    <s v="Brasília"/>
    <s v="Small Business"/>
    <s v="Direct"/>
    <s v="A. Patel"/>
    <x v="0"/>
    <x v="224"/>
    <n v="860.4"/>
    <n v="2066.6"/>
    <n v="0.01"/>
    <n v="3"/>
    <n v="6137.8019999999988"/>
    <n v="2581.1999999999998"/>
    <n v="3556.601999999999"/>
    <n v="0.57945857491004105"/>
  </r>
  <r>
    <s v="ORD-2024-243988"/>
    <x v="204"/>
    <d v="2023-05-16T00:00:00"/>
    <n v="13"/>
    <s v="QUARTER 2"/>
    <s v="Americas"/>
    <x v="3"/>
    <s v="New York"/>
    <s v="Corporate"/>
    <s v="Direct"/>
    <s v="L. Okafor"/>
    <x v="2"/>
    <x v="225"/>
    <n v="64.5"/>
    <n v="123.62"/>
    <n v="0"/>
    <n v="3"/>
    <n v="370.86"/>
    <n v="193.5"/>
    <n v="177.36"/>
    <n v="0.47823976702798904"/>
  </r>
  <r>
    <s v="ORD-2023-163610"/>
    <x v="205"/>
    <d v="2025-05-17T00:00:00"/>
    <n v="-2"/>
    <s v="QUARTER 2"/>
    <s v="Americas"/>
    <x v="4"/>
    <s v="São Paulo"/>
    <s v="Small Business"/>
    <s v="Direct"/>
    <s v="L. Okafor"/>
    <x v="3"/>
    <x v="226"/>
    <n v="383.77"/>
    <n v="952.56"/>
    <n v="0.34599999999999997"/>
    <n v="10"/>
    <n v="6229.7423999999992"/>
    <n v="3837.7"/>
    <n v="2392.0423999999994"/>
    <n v="0.38397131797937578"/>
  </r>
  <r>
    <s v="ORD-2024-468501"/>
    <x v="206"/>
    <d v="2024-11-22T00:00:00"/>
    <n v="16"/>
    <s v="QUARTER 4"/>
    <s v="Americas"/>
    <x v="5"/>
    <s v="Toronto"/>
    <s v="Non-Profit"/>
    <s v="Distributor"/>
    <s v="D. Smith"/>
    <x v="5"/>
    <x v="227"/>
    <n v="1454.11"/>
    <n v="2629.75"/>
    <n v="0.29199999999999998"/>
    <n v="8"/>
    <n v="14894.903999999999"/>
    <n v="11632.88"/>
    <n v="3262.0239999999994"/>
    <n v="0.21900268709351867"/>
  </r>
  <r>
    <s v="ORD-2023-133848"/>
    <x v="207"/>
    <d v="2024-01-29T00:00:00"/>
    <n v="17"/>
    <s v="QUARTER 1"/>
    <s v="Americas"/>
    <x v="3"/>
    <s v="Chicago"/>
    <s v="Education"/>
    <s v="Marketplace"/>
    <s v="A. Patel"/>
    <x v="4"/>
    <x v="228"/>
    <n v="493.76"/>
    <n v="625.04"/>
    <n v="0.25800000000000001"/>
    <n v="10"/>
    <n v="4637.7968000000001"/>
    <n v="4937.6000000000004"/>
    <n v="-299.80320000000029"/>
    <n v="-6.464345311549663E-2"/>
  </r>
  <r>
    <s v="ORD-2024-389102"/>
    <x v="208"/>
    <d v="2024-07-06T00:00:00"/>
    <n v="21"/>
    <s v="QUARTER 2"/>
    <s v="Americas"/>
    <x v="5"/>
    <s v="Toronto"/>
    <s v="Enterprise"/>
    <s v="Direct"/>
    <s v="L. Okafor"/>
    <x v="4"/>
    <x v="229"/>
    <n v="817.23"/>
    <n v="1467.17"/>
    <n v="0.245"/>
    <n v="9"/>
    <n v="9969.4201499999999"/>
    <n v="7355.07"/>
    <n v="2614.3501500000002"/>
    <n v="0.26223693160328893"/>
  </r>
  <r>
    <s v="ORD-2023-925146"/>
    <x v="188"/>
    <d v="2024-09-03T00:00:00"/>
    <n v="22"/>
    <s v="QUARTER 3"/>
    <s v="Americas"/>
    <x v="3"/>
    <s v="Austin"/>
    <s v="Consumer"/>
    <s v="Direct"/>
    <s v="I. Johnson"/>
    <x v="6"/>
    <x v="230"/>
    <n v="797.8"/>
    <n v="886.22"/>
    <n v="0.23599999999999999"/>
    <n v="36"/>
    <n v="24374.594880000001"/>
    <n v="28720.799999999999"/>
    <n v="-4346.2051199999987"/>
    <n v="-0.17830881462428633"/>
  </r>
  <r>
    <s v="ORD-2025-488349"/>
    <x v="209"/>
    <d v="2025-04-22T00:00:00"/>
    <n v="-1"/>
    <s v="QUARTER 2"/>
    <s v="Americas"/>
    <x v="3"/>
    <s v="San Francisco"/>
    <s v="Non-Profit"/>
    <s v="Distributor"/>
    <s v="D. Smith"/>
    <x v="3"/>
    <x v="231"/>
    <n v="23.24"/>
    <n v="44.57"/>
    <n v="0.215"/>
    <n v="15"/>
    <n v="524.81174999999996"/>
    <n v="348.59999999999997"/>
    <n v="176.21174999999999"/>
    <n v="0.33576182316802167"/>
  </r>
  <r>
    <s v="ORD-2023-139236"/>
    <x v="210"/>
    <d v="2025-08-23T00:00:00"/>
    <n v="17"/>
    <s v="QUARTER 3"/>
    <s v="Americas"/>
    <x v="4"/>
    <s v="Brasília"/>
    <s v="Consumer"/>
    <s v="Direct"/>
    <s v="A. Patel"/>
    <x v="3"/>
    <x v="232"/>
    <n v="86.64"/>
    <n v="213.06"/>
    <n v="0.21199999999999999"/>
    <n v="11"/>
    <n v="1846.8040799999999"/>
    <n v="953.04"/>
    <n v="893.76407999999992"/>
    <n v="0.48395175735154322"/>
  </r>
  <r>
    <s v="ORD-2023-660608"/>
    <x v="117"/>
    <d v="2024-03-03T00:00:00"/>
    <n v="14"/>
    <s v="QUARTER 1"/>
    <s v="Americas"/>
    <x v="4"/>
    <s v="Unknown"/>
    <s v="Enterprise"/>
    <s v="Distributor"/>
    <s v="A. Patel"/>
    <x v="4"/>
    <x v="233"/>
    <n v="624.23"/>
    <n v="1318.37"/>
    <n v="0.21"/>
    <n v="37"/>
    <n v="38535.955099999999"/>
    <n v="23096.510000000002"/>
    <n v="15439.445099999997"/>
    <n v="0.40065038118128793"/>
  </r>
  <r>
    <s v="ORD-2024-220234"/>
    <x v="211"/>
    <d v="2023-03-24T00:00:00"/>
    <n v="20"/>
    <s v="QUARTER 1"/>
    <s v="Americas"/>
    <x v="5"/>
    <s v="Montreal"/>
    <s v="Consumer"/>
    <s v="Retail"/>
    <s v="I. Johnson"/>
    <x v="6"/>
    <x v="234"/>
    <n v="481.71"/>
    <n v="912.45"/>
    <n v="0.20300000000000001"/>
    <n v="24"/>
    <n v="17453.3436"/>
    <n v="11561.039999999999"/>
    <n v="5892.3036000000011"/>
    <n v="0.33760313983619739"/>
  </r>
  <r>
    <s v="ORD-2024-500511"/>
    <x v="212"/>
    <d v="2025-09-11T00:00:00"/>
    <n v="9"/>
    <s v="QUARTER 3"/>
    <s v="Americas"/>
    <x v="5"/>
    <s v="Toronto"/>
    <s v="Corporate"/>
    <s v="Distributor"/>
    <s v="M. Rossi"/>
    <x v="4"/>
    <x v="235"/>
    <n v="1207.6300000000001"/>
    <n v="921.68"/>
    <n v="0.19600000000000001"/>
    <n v="17"/>
    <n v="12597.52224"/>
    <n v="20529.710000000003"/>
    <n v="-7932.1877600000025"/>
    <n v="-0.62966253274897988"/>
  </r>
  <r>
    <s v="ORD-2024-741404"/>
    <x v="213"/>
    <d v="2024-02-01T00:00:00"/>
    <n v="0"/>
    <s v="QUARTER 1"/>
    <s v="Americas"/>
    <x v="3"/>
    <s v="Austin"/>
    <s v="Consumer"/>
    <s v="Direct"/>
    <s v="H. Kim"/>
    <x v="4"/>
    <x v="236"/>
    <n v="714.43"/>
    <n v="1595.52"/>
    <n v="0.19400000000000001"/>
    <n v="14"/>
    <n v="18003.847679999999"/>
    <n v="10002.019999999999"/>
    <n v="8001.8276800000003"/>
    <n v="0.44445097638151093"/>
  </r>
  <r>
    <s v="ORD-2024-853298"/>
    <x v="214"/>
    <d v="2023-04-28T00:00:00"/>
    <n v="9"/>
    <s v="QUARTER 2"/>
    <s v="Americas"/>
    <x v="4"/>
    <s v="Rio de Janeiro"/>
    <s v="Corporate"/>
    <s v="Retail"/>
    <s v="M. Rossi"/>
    <x v="2"/>
    <x v="237"/>
    <n v="1013.54"/>
    <n v="927.93"/>
    <n v="0.17499999999999999"/>
    <n v="16"/>
    <n v="12248.675999999999"/>
    <n v="16216.64"/>
    <n v="-3967.9639999999999"/>
    <n v="-0.32395044166406234"/>
  </r>
  <r>
    <s v="ORD-2024-961756"/>
    <x v="215"/>
    <d v="2024-04-21T00:00:00"/>
    <n v="18"/>
    <s v="QUARTER 2"/>
    <s v="Americas"/>
    <x v="4"/>
    <s v="Brasília"/>
    <s v="Small Business"/>
    <s v="Direct"/>
    <s v="B. Chen"/>
    <x v="1"/>
    <x v="238"/>
    <n v="1176.69"/>
    <n v="2201.54"/>
    <n v="0.17"/>
    <n v="27"/>
    <n v="49336.511399999996"/>
    <n v="31770.63"/>
    <n v="17565.881399999995"/>
    <n v="0.35604222717701106"/>
  </r>
  <r>
    <s v="ORD-2025-189846"/>
    <x v="216"/>
    <d v="2024-09-02T00:00:00"/>
    <n v="14"/>
    <s v="QUARTER 3"/>
    <s v="Americas"/>
    <x v="5"/>
    <s v="Toronto"/>
    <s v="Consumer"/>
    <s v="Retail"/>
    <s v="C. Otieno"/>
    <x v="4"/>
    <x v="239"/>
    <n v="1337.01"/>
    <n v="1269.78"/>
    <n v="0.16"/>
    <n v="7"/>
    <n v="7466.3063999999986"/>
    <n v="9359.07"/>
    <n v="-1892.7636000000011"/>
    <n v="-0.25350735672996244"/>
  </r>
  <r>
    <s v="ORD-2025-698069"/>
    <x v="217"/>
    <d v="2025-06-10T00:00:00"/>
    <n v="7"/>
    <s v="QUARTER 2"/>
    <s v="Americas"/>
    <x v="5"/>
    <s v="Toronto"/>
    <s v="Consumer"/>
    <s v="Retail"/>
    <s v="O. Wang"/>
    <x v="4"/>
    <x v="240"/>
    <n v="75.180000000000007"/>
    <n v="53.45"/>
    <n v="0.157"/>
    <n v="17"/>
    <n v="765.99195000000009"/>
    <n v="1278.0600000000002"/>
    <n v="-512.06805000000008"/>
    <n v="-0.66850317421743144"/>
  </r>
  <r>
    <s v="ORD-2023-290237"/>
    <x v="151"/>
    <d v="2023-12-20T00:00:00"/>
    <n v="1"/>
    <s v="QUARTER 4"/>
    <s v="Americas"/>
    <x v="4"/>
    <s v="Rio de Janeiro"/>
    <s v="Consumer"/>
    <s v="Marketplace"/>
    <s v="J. Njeri"/>
    <x v="2"/>
    <x v="241"/>
    <n v="1080.43"/>
    <n v="2529.15"/>
    <n v="0.14699999999999999"/>
    <n v="10"/>
    <n v="21573.6495"/>
    <n v="10804.300000000001"/>
    <n v="10769.349499999998"/>
    <n v="0.49918997247081437"/>
  </r>
  <r>
    <s v="ORD-2024-331226"/>
    <x v="110"/>
    <d v="2024-11-05T00:00:00"/>
    <n v="11"/>
    <s v="QUARTER 4"/>
    <s v="Americas"/>
    <x v="3"/>
    <s v="New York"/>
    <s v="Corporate"/>
    <s v="Direct"/>
    <s v="N. Brown"/>
    <x v="0"/>
    <x v="242"/>
    <n v="446.66"/>
    <n v="527.64"/>
    <n v="0.14499999999999999"/>
    <n v="15"/>
    <n v="6766.9829999999993"/>
    <n v="6699.9000000000005"/>
    <n v="67.082999999998719"/>
    <n v="9.9132804087137105E-3"/>
  </r>
  <r>
    <s v="ORD-2023-638181"/>
    <x v="218"/>
    <d v="2023-10-13T00:00:00"/>
    <n v="2"/>
    <s v="QUARTER 4"/>
    <s v="Americas"/>
    <x v="4"/>
    <s v="Brasília"/>
    <s v="Consumer"/>
    <s v="Distributor"/>
    <s v="Unknown"/>
    <x v="5"/>
    <x v="243"/>
    <n v="715.94"/>
    <n v="550.07000000000005"/>
    <n v="0.14000000000000001"/>
    <n v="16"/>
    <n v="7568.9632000000001"/>
    <n v="11455.04"/>
    <n v="-3886.0768000000007"/>
    <n v="-0.51342260456491595"/>
  </r>
  <r>
    <s v="ORD-2025-659650"/>
    <x v="180"/>
    <d v="2023-05-02T00:00:00"/>
    <n v="19"/>
    <s v="QUARTER 2"/>
    <s v="Americas"/>
    <x v="5"/>
    <s v="Montreal"/>
    <s v="Consumer"/>
    <s v="Online"/>
    <s v="E. Garcia"/>
    <x v="3"/>
    <x v="244"/>
    <n v="671.05"/>
    <n v="1645.48"/>
    <n v="0.13700000000000001"/>
    <n v="6"/>
    <n v="8520.2954399999999"/>
    <n v="4026.2999999999997"/>
    <n v="4493.9954400000006"/>
    <n v="0.52744596377517172"/>
  </r>
  <r>
    <s v="ORD-2025-246470"/>
    <x v="61"/>
    <d v="2025-05-16T00:00:00"/>
    <n v="30"/>
    <s v="QUARTER 2"/>
    <s v="Americas"/>
    <x v="5"/>
    <s v="Montreal"/>
    <s v="Enterprise"/>
    <s v="Marketplace"/>
    <s v="K. Singh"/>
    <x v="4"/>
    <x v="245"/>
    <n v="763.32"/>
    <n v="568.29"/>
    <n v="0.13100000000000001"/>
    <n v="16"/>
    <n v="7901.5041599999995"/>
    <n v="12213.12"/>
    <n v="-4311.6158400000013"/>
    <n v="-0.54567026134426555"/>
  </r>
  <r>
    <s v="ORD-2024-921935"/>
    <x v="219"/>
    <d v="2024-11-26T00:00:00"/>
    <n v="19"/>
    <s v="QUARTER 4"/>
    <s v="Americas"/>
    <x v="4"/>
    <s v="Rio de Janeiro"/>
    <s v="Non-Profit"/>
    <s v="Direct"/>
    <s v="J. Njeri"/>
    <x v="4"/>
    <x v="246"/>
    <n v="55.35"/>
    <n v="128.68"/>
    <n v="0.128"/>
    <n v="10"/>
    <n v="1122.0896000000002"/>
    <n v="553.5"/>
    <n v="568.58960000000025"/>
    <n v="0.50672388372550647"/>
  </r>
  <r>
    <s v="ORD-2025-685236"/>
    <x v="220"/>
    <d v="2023-06-23T00:00:00"/>
    <n v="8"/>
    <s v="QUARTER 2"/>
    <s v="Americas"/>
    <x v="3"/>
    <s v="San Francisco"/>
    <s v="Consumer"/>
    <s v="Marketplace"/>
    <s v="O. Wang"/>
    <x v="3"/>
    <x v="247"/>
    <n v="1097.0899999999999"/>
    <n v="2182.31"/>
    <n v="0.112"/>
    <n v="9"/>
    <n v="17441.021520000002"/>
    <n v="9873.81"/>
    <n v="7567.2115200000026"/>
    <n v="0.43387432962699546"/>
  </r>
  <r>
    <s v="ORD-2024-331408"/>
    <x v="221"/>
    <d v="2023-04-23T00:00:00"/>
    <n v="7"/>
    <s v="QUARTER 2"/>
    <s v="Americas"/>
    <x v="3"/>
    <s v="Austin"/>
    <s v="Corporate"/>
    <s v="Marketplace"/>
    <s v="O. Wang"/>
    <x v="4"/>
    <x v="248"/>
    <n v="1099.1500000000001"/>
    <n v="1431.37"/>
    <n v="0.104"/>
    <n v="8"/>
    <n v="10260.060159999999"/>
    <n v="8793.2000000000007"/>
    <n v="1466.8601599999984"/>
    <n v="0.14296798821109433"/>
  </r>
  <r>
    <s v="ORD-2023-603238"/>
    <x v="222"/>
    <d v="2023-09-04T00:00:00"/>
    <n v="14"/>
    <s v="QUARTER 3"/>
    <s v="Americas"/>
    <x v="5"/>
    <s v="Montreal"/>
    <s v="Education"/>
    <s v="Distributor"/>
    <s v="F. Müller"/>
    <x v="0"/>
    <x v="249"/>
    <n v="178.19"/>
    <n v="284.43"/>
    <n v="8.8999999999999996E-2"/>
    <n v="8"/>
    <n v="2072.9258400000003"/>
    <n v="1425.52"/>
    <n v="647.40584000000035"/>
    <n v="0.31231500302972742"/>
  </r>
  <r>
    <s v="ORD-2023-621393"/>
    <x v="223"/>
    <d v="2024-08-26T00:00:00"/>
    <n v="10"/>
    <s v="QUARTER 3"/>
    <s v="Americas"/>
    <x v="3"/>
    <s v="Chicago"/>
    <s v="Corporate"/>
    <s v="Retail"/>
    <s v="L. Okafor"/>
    <x v="6"/>
    <x v="250"/>
    <n v="1291.7"/>
    <n v="2657.84"/>
    <n v="8.6999999999999994E-2"/>
    <n v="21"/>
    <n v="50958.766320000002"/>
    <n v="27125.7"/>
    <n v="23833.066320000002"/>
    <n v="0.46769315745083367"/>
  </r>
  <r>
    <s v="ORD-2024-973420"/>
    <x v="224"/>
    <d v="2024-11-28T00:00:00"/>
    <n v="11"/>
    <s v="QUARTER 4"/>
    <s v="Americas"/>
    <x v="5"/>
    <s v="Unknown"/>
    <s v="Consumer"/>
    <s v="Distributor"/>
    <s v="A. Patel"/>
    <x v="4"/>
    <x v="251"/>
    <n v="1008.16"/>
    <n v="2077.5"/>
    <n v="7.3999999999999996E-2"/>
    <n v="15"/>
    <n v="28856.475000000002"/>
    <n v="15122.4"/>
    <n v="13734.075000000003"/>
    <n v="0.47594430712691005"/>
  </r>
  <r>
    <s v="ORD-2023-713614"/>
    <x v="225"/>
    <d v="2025-08-16T00:00:00"/>
    <n v="13"/>
    <s v="QUARTER 3"/>
    <s v="Americas"/>
    <x v="5"/>
    <s v="Montreal"/>
    <s v="Enterprise"/>
    <m/>
    <s v="O. Wang"/>
    <x v="1"/>
    <x v="252"/>
    <n v="698.66"/>
    <n v="868.62"/>
    <n v="7.1999999999999995E-2"/>
    <n v="15"/>
    <n v="12091.190399999999"/>
    <n v="10479.9"/>
    <n v="1611.2903999999999"/>
    <n v="0.13326151906432637"/>
  </r>
  <r>
    <s v="ORD-2025-289139"/>
    <x v="226"/>
    <d v="2023-10-29T00:00:00"/>
    <n v="25"/>
    <s v="QUARTER 4"/>
    <s v="Americas"/>
    <x v="3"/>
    <s v="San Francisco"/>
    <s v="Small Business"/>
    <s v="Online"/>
    <s v="O. Wang"/>
    <x v="5"/>
    <x v="253"/>
    <n v="1239.8399999999999"/>
    <n v="1482.75"/>
    <n v="6.7000000000000004E-2"/>
    <n v="4"/>
    <n v="5533.6230000000005"/>
    <n v="4959.3599999999997"/>
    <n v="574.26300000000083"/>
    <n v="0.10377703721413634"/>
  </r>
  <r>
    <s v="ORD-2025-737787"/>
    <x v="227"/>
    <d v="2025-01-23T00:00:00"/>
    <n v="12"/>
    <s v="QUARTER 1"/>
    <s v="Americas"/>
    <x v="3"/>
    <s v="Austin"/>
    <s v="Consumer"/>
    <s v="Marketplace"/>
    <s v="H. Kim"/>
    <x v="2"/>
    <x v="254"/>
    <n v="100.69"/>
    <n v="226.14"/>
    <n v="6.5000000000000002E-2"/>
    <n v="12"/>
    <n v="2537.2908000000002"/>
    <n v="1208.28"/>
    <n v="1329.0108000000002"/>
    <n v="0.52379128162999689"/>
  </r>
  <r>
    <s v="ORD-2025-823055"/>
    <x v="228"/>
    <d v="2023-10-28T00:00:00"/>
    <n v="3"/>
    <s v="QUARTER 4"/>
    <s v="Americas"/>
    <x v="4"/>
    <s v="Brasília"/>
    <s v="Corporate"/>
    <s v="Direct"/>
    <s v="L. Okafor"/>
    <x v="5"/>
    <x v="255"/>
    <n v="509.31"/>
    <n v="1145.9000000000001"/>
    <n v="5.7000000000000002E-2"/>
    <n v="8"/>
    <n v="8644.6696000000011"/>
    <n v="4074.48"/>
    <n v="4570.1896000000015"/>
    <n v="0.52867140231709964"/>
  </r>
  <r>
    <s v="ORD-2024-687073"/>
    <x v="229"/>
    <d v="2025-05-12T00:00:00"/>
    <n v="-2"/>
    <s v="QUARTER 2"/>
    <s v="Americas"/>
    <x v="5"/>
    <s v="Vancouver"/>
    <s v="Non-Profit"/>
    <s v="Marketplace"/>
    <s v="F. Müller"/>
    <x v="4"/>
    <x v="256"/>
    <n v="883.5"/>
    <n v="1978.91"/>
    <n v="5.3999999999999999E-2"/>
    <n v="27"/>
    <n v="50545.319219999998"/>
    <n v="23854.5"/>
    <n v="26690.819219999998"/>
    <n v="0.52805718970390547"/>
  </r>
  <r>
    <s v="ORD-2025-956101"/>
    <x v="230"/>
    <d v="2025-07-18T00:00:00"/>
    <n v="9"/>
    <s v="QUARTER 3"/>
    <s v="Americas"/>
    <x v="5"/>
    <s v="Vancouver"/>
    <s v="Education"/>
    <s v="Retail"/>
    <s v="I. Johnson"/>
    <x v="6"/>
    <x v="257"/>
    <n v="57.96"/>
    <n v="88.51"/>
    <n v="4.2999999999999997E-2"/>
    <n v="7"/>
    <n v="592.92849000000001"/>
    <n v="405.72"/>
    <n v="187.20848999999998"/>
    <n v="0.3157353595877978"/>
  </r>
  <r>
    <s v="ORD-2023-378676"/>
    <x v="186"/>
    <d v="2025-04-17T00:00:00"/>
    <n v="0"/>
    <s v="QUARTER 2"/>
    <s v="Americas"/>
    <x v="4"/>
    <s v="São Paulo"/>
    <s v="Corporate"/>
    <s v="Direct"/>
    <s v="L. Okafor"/>
    <x v="2"/>
    <x v="258"/>
    <n v="719.41"/>
    <n v="1125.99"/>
    <n v="4.1000000000000002E-2"/>
    <n v="21"/>
    <n v="22676.312610000001"/>
    <n v="15107.609999999999"/>
    <n v="7568.7026100000021"/>
    <n v="0.33377131194876403"/>
  </r>
  <r>
    <s v="ORD-2025-931538"/>
    <x v="231"/>
    <d v="2025-03-01T00:00:00"/>
    <n v="20"/>
    <s v="QUARTER 1"/>
    <s v="Americas"/>
    <x v="4"/>
    <s v="São Paulo"/>
    <s v="Corporate"/>
    <s v="Marketplace"/>
    <s v="B. Chen"/>
    <x v="6"/>
    <x v="259"/>
    <n v="1154.6400000000001"/>
    <n v="2794.13"/>
    <n v="3.5000000000000003E-2"/>
    <n v="11"/>
    <n v="29659.68995"/>
    <n v="12701.04"/>
    <n v="16958.649949999999"/>
    <n v="0.57177435025749479"/>
  </r>
  <r>
    <s v="ORD-2025-192876"/>
    <x v="232"/>
    <d v="2025-02-15T00:00:00"/>
    <n v="9"/>
    <s v="QUARTER 1"/>
    <s v="Americas"/>
    <x v="4"/>
    <s v="São Paulo"/>
    <s v="Non-Profit"/>
    <s v="Direct"/>
    <s v="F. Müller"/>
    <x v="1"/>
    <x v="260"/>
    <n v="837.39"/>
    <n v="1905.42"/>
    <n v="3.2000000000000001E-2"/>
    <n v="18"/>
    <n v="33200.038079999998"/>
    <n v="15073.02"/>
    <n v="18127.018079999998"/>
    <n v="0.54599389423350919"/>
  </r>
  <r>
    <s v="ORD-2023-545150"/>
    <x v="233"/>
    <d v="2023-02-28T00:00:00"/>
    <n v="23"/>
    <s v="QUARTER 1"/>
    <s v="Americas"/>
    <x v="3"/>
    <s v="Austin"/>
    <s v="Non-Profit"/>
    <s v="Direct"/>
    <s v="L. Okafor"/>
    <x v="2"/>
    <x v="261"/>
    <n v="1214.49"/>
    <n v="1533.95"/>
    <n v="0"/>
    <n v="11"/>
    <n v="16873.45"/>
    <n v="13359.39"/>
    <n v="3514.0600000000013"/>
    <n v="0.20825972163369086"/>
  </r>
  <r>
    <s v="ORD-2023-723587"/>
    <x v="234"/>
    <d v="2023-01-05T00:00:00"/>
    <n v="3"/>
    <s v="QUARTER 1"/>
    <s v="Americas"/>
    <x v="5"/>
    <s v="Toronto"/>
    <s v="Corporate"/>
    <s v="Online"/>
    <s v="B. Chen"/>
    <x v="6"/>
    <x v="262"/>
    <n v="315.87"/>
    <n v="591.67999999999995"/>
    <n v="0"/>
    <n v="7"/>
    <n v="4141.7599999999993"/>
    <n v="2211.09"/>
    <n v="1930.6699999999992"/>
    <n v="0.46614724175229844"/>
  </r>
  <r>
    <s v="ORD-2023-927385"/>
    <x v="235"/>
    <d v="2024-03-26T00:00:00"/>
    <n v="17"/>
    <s v="QUARTER 1"/>
    <s v="Americas"/>
    <x v="3"/>
    <s v="San Francisco"/>
    <s v="Education"/>
    <s v="Marketplace"/>
    <s v="I. Johnson"/>
    <x v="2"/>
    <x v="263"/>
    <n v="1137.4100000000001"/>
    <n v="1680.93"/>
    <n v="0.254"/>
    <n v="9"/>
    <n v="11285.764020000001"/>
    <n v="10236.69"/>
    <n v="1049.07402"/>
    <n v="9.2955516183121464E-2"/>
  </r>
  <r>
    <s v="ORD-2024-732543"/>
    <x v="236"/>
    <d v="2025-05-17T00:00:00"/>
    <n v="20"/>
    <s v="QUARTER 2"/>
    <s v="Americas"/>
    <x v="3"/>
    <s v="Austin"/>
    <s v="Corporate"/>
    <s v="Direct"/>
    <s v="N. Brown"/>
    <x v="2"/>
    <x v="264"/>
    <n v="932.26"/>
    <n v="1624.67"/>
    <n v="0.23499999999999999"/>
    <n v="28"/>
    <n v="34800.431400000001"/>
    <n v="26103.279999999999"/>
    <n v="8697.1514000000025"/>
    <n v="0.24991504559337163"/>
  </r>
  <r>
    <s v="ORD-2025-908258"/>
    <x v="237"/>
    <d v="2023-08-24T00:00:00"/>
    <n v="20"/>
    <s v="QUARTER 3"/>
    <s v="Americas"/>
    <x v="4"/>
    <s v="Brasília"/>
    <s v="Non-Profit"/>
    <s v="Distributor"/>
    <s v="Unknown"/>
    <x v="1"/>
    <x v="265"/>
    <n v="582.88"/>
    <n v="1044.1400000000001"/>
    <n v="0.216"/>
    <n v="10"/>
    <n v="8186.057600000001"/>
    <n v="5828.8"/>
    <n v="2357.2576000000008"/>
    <n v="0.28796005539956138"/>
  </r>
  <r>
    <s v="ORD-2025-667201"/>
    <x v="238"/>
    <d v="2025-09-18T00:00:00"/>
    <n v="3"/>
    <s v="QUARTER 3"/>
    <s v="Americas"/>
    <x v="4"/>
    <s v="Rio de Janeiro"/>
    <s v="Non-Profit"/>
    <s v="Marketplace"/>
    <s v="L. Okafor"/>
    <x v="5"/>
    <x v="266"/>
    <n v="5.5"/>
    <n v="5.92"/>
    <n v="0.21199999999999999"/>
    <n v="4"/>
    <n v="18.659839999999999"/>
    <n v="22"/>
    <n v="-3.3401600000000009"/>
    <n v="-0.17900260666758133"/>
  </r>
  <r>
    <s v="ORD-2023-472078"/>
    <x v="113"/>
    <d v="2023-10-02T00:00:00"/>
    <n v="24"/>
    <s v="QUARTER 3"/>
    <s v="Americas"/>
    <x v="5"/>
    <s v="Toronto"/>
    <s v="Education"/>
    <s v="Direct"/>
    <s v="A. Patel"/>
    <x v="5"/>
    <x v="267"/>
    <n v="1299.03"/>
    <n v="2451.2199999999998"/>
    <n v="0.20799999999999999"/>
    <n v="8"/>
    <n v="15530.929919999999"/>
    <n v="10392.24"/>
    <n v="5138.6899199999989"/>
    <n v="0.3308681416032041"/>
  </r>
  <r>
    <s v="ORD-2023-126505"/>
    <x v="182"/>
    <d v="2024-01-02T00:00:00"/>
    <n v="0"/>
    <s v="QUARTER 1"/>
    <s v="Americas"/>
    <x v="5"/>
    <s v="Vancouver"/>
    <s v="Education"/>
    <s v="Distributor"/>
    <s v="A. Patel"/>
    <x v="6"/>
    <x v="268"/>
    <n v="444.41"/>
    <n v="754.24"/>
    <n v="0.20699999999999999"/>
    <n v="32"/>
    <n v="19139.594240000002"/>
    <n v="14221.12"/>
    <n v="4918.4742400000014"/>
    <n v="0.25697902360546598"/>
  </r>
  <r>
    <s v="ORD-2024-478165"/>
    <x v="239"/>
    <d v="2024-12-28T00:00:00"/>
    <n v="23"/>
    <s v="QUARTER 4"/>
    <s v="Americas"/>
    <x v="5"/>
    <s v="Vancouver"/>
    <s v="Corporate"/>
    <s v="Direct"/>
    <s v="F. Müller"/>
    <x v="5"/>
    <x v="269"/>
    <n v="107.03"/>
    <n v="242.29"/>
    <n v="0.18"/>
    <n v="30"/>
    <n v="5960.3340000000007"/>
    <n v="3210.9"/>
    <n v="2749.4340000000007"/>
    <n v="0.46128857879440988"/>
  </r>
  <r>
    <s v="ORD-2025-789245"/>
    <x v="0"/>
    <d v="2025-09-06T00:00:00"/>
    <n v="30"/>
    <s v="QUARTER 3"/>
    <s v="Americas"/>
    <x v="5"/>
    <s v="Montreal"/>
    <s v="Education"/>
    <s v="Online"/>
    <s v="M. Rossi"/>
    <x v="1"/>
    <x v="270"/>
    <n v="833.73"/>
    <n v="1116.5999999999999"/>
    <n v="0.17599999999999999"/>
    <n v="14"/>
    <n v="12881.097599999999"/>
    <n v="11672.220000000001"/>
    <n v="1208.877599999998"/>
    <n v="9.3848958958279924E-2"/>
  </r>
  <r>
    <s v="ORD-2024-364080"/>
    <x v="240"/>
    <d v="2024-01-15T00:00:00"/>
    <n v="2"/>
    <s v="QUARTER 1"/>
    <s v="Americas"/>
    <x v="3"/>
    <s v="San Francisco"/>
    <s v="Non-Profit"/>
    <s v="Online"/>
    <s v="E. Garcia"/>
    <x v="0"/>
    <x v="271"/>
    <n v="1061.3699999999999"/>
    <n v="1938.33"/>
    <n v="0.17"/>
    <n v="4"/>
    <n v="6435.2555999999995"/>
    <n v="4245.4799999999996"/>
    <n v="2189.7755999999999"/>
    <n v="0.34027795259600879"/>
  </r>
  <r>
    <s v="ORD-2023-602648"/>
    <x v="165"/>
    <d v="2024-03-16T00:00:00"/>
    <n v="14"/>
    <s v="QUARTER 1"/>
    <s v="Americas"/>
    <x v="5"/>
    <s v="Vancouver"/>
    <s v="Non-Profit"/>
    <s v="Retail"/>
    <s v="O. Wang"/>
    <x v="4"/>
    <x v="272"/>
    <n v="248.24"/>
    <n v="464.05"/>
    <n v="0.16900000000000001"/>
    <n v="11"/>
    <n v="4241.88105"/>
    <n v="2730.6400000000003"/>
    <n v="1511.2410499999996"/>
    <n v="0.3562667203975462"/>
  </r>
  <r>
    <s v="ORD-2024-834983"/>
    <x v="81"/>
    <d v="2023-08-13T00:00:00"/>
    <n v="20"/>
    <s v="QUARTER 3"/>
    <s v="Americas"/>
    <x v="5"/>
    <s v="Montreal"/>
    <s v="Education"/>
    <s v="Distributor"/>
    <s v="C. Otieno"/>
    <x v="3"/>
    <x v="273"/>
    <n v="1082.3800000000001"/>
    <n v="1766.55"/>
    <n v="0.16400000000000001"/>
    <n v="20"/>
    <n v="29536.716"/>
    <n v="21647.600000000002"/>
    <n v="7889.1159999999982"/>
    <n v="0.26709523157550752"/>
  </r>
  <r>
    <s v="ORD-2023-667815"/>
    <x v="52"/>
    <d v="2025-04-07T00:00:00"/>
    <n v="8"/>
    <s v="QUARTER 1"/>
    <s v="Americas"/>
    <x v="4"/>
    <s v="São Paulo"/>
    <s v="Non-Profit"/>
    <s v="Retail"/>
    <s v="L. Okafor"/>
    <x v="4"/>
    <x v="274"/>
    <n v="71.62"/>
    <n v="118.37"/>
    <n v="0.156"/>
    <n v="11"/>
    <n v="1098.9470800000001"/>
    <n v="787.82"/>
    <n v="311.12708000000009"/>
    <n v="0.28311379652603474"/>
  </r>
  <r>
    <s v="ORD-2023-276806"/>
    <x v="241"/>
    <d v="2024-09-08T00:00:00"/>
    <n v="6"/>
    <s v="QUARTER 3"/>
    <s v="Americas"/>
    <x v="3"/>
    <s v="Austin"/>
    <s v="Consumer"/>
    <s v="Direct"/>
    <s v="H. Kim"/>
    <x v="0"/>
    <x v="275"/>
    <n v="462.94"/>
    <n v="1015.7"/>
    <n v="0.14299999999999999"/>
    <n v="14"/>
    <n v="12186.368600000002"/>
    <n v="6481.16"/>
    <n v="5705.2086000000018"/>
    <n v="0.46816314090483041"/>
  </r>
  <r>
    <s v="ORD-2024-728474"/>
    <x v="199"/>
    <d v="2023-07-04T00:00:00"/>
    <n v="14"/>
    <s v="QUARTER 2"/>
    <s v="Americas"/>
    <x v="4"/>
    <s v="Brasília"/>
    <s v="Non-Profit"/>
    <s v="Distributor"/>
    <s v="C. Otieno"/>
    <x v="1"/>
    <x v="276"/>
    <n v="1292.8599999999999"/>
    <n v="2981.01"/>
    <n v="0.14199999999999999"/>
    <n v="12"/>
    <n v="30692.47896"/>
    <n v="15514.32"/>
    <n v="15178.158960000001"/>
    <n v="0.49452372288927687"/>
  </r>
  <r>
    <s v="ORD-2025-484073"/>
    <x v="242"/>
    <d v="2023-08-14T00:00:00"/>
    <n v="11"/>
    <s v="QUARTER 3"/>
    <s v="Americas"/>
    <x v="4"/>
    <s v="Brasília"/>
    <s v="Corporate"/>
    <s v="Marketplace"/>
    <s v="J. Njeri"/>
    <x v="5"/>
    <x v="277"/>
    <n v="232.73"/>
    <n v="334.19"/>
    <n v="0.13400000000000001"/>
    <n v="25"/>
    <n v="7235.2134999999998"/>
    <n v="5818.25"/>
    <n v="1416.9634999999998"/>
    <n v="0.1958426658729559"/>
  </r>
  <r>
    <s v="ORD-2024-219735"/>
    <x v="215"/>
    <d v="2024-04-07T00:00:00"/>
    <n v="4"/>
    <s v="QUARTER 2"/>
    <s v="Americas"/>
    <x v="4"/>
    <s v="Brasília"/>
    <s v="Non-Profit"/>
    <s v="Marketplace"/>
    <s v="N. Brown"/>
    <x v="2"/>
    <x v="278"/>
    <n v="1023.27"/>
    <n v="1343.64"/>
    <n v="0.13300000000000001"/>
    <n v="7"/>
    <n v="8154.5511600000009"/>
    <n v="7162.8899999999994"/>
    <n v="991.66116000000147"/>
    <n v="0.12160830688810116"/>
  </r>
  <r>
    <s v="ORD-2024-907733"/>
    <x v="243"/>
    <d v="2024-08-15T00:00:00"/>
    <n v="-2"/>
    <s v="QUARTER 3"/>
    <s v="Americas"/>
    <x v="4"/>
    <s v="Rio de Janeiro"/>
    <s v="Consumer"/>
    <s v="Online"/>
    <s v="M. Rossi"/>
    <x v="3"/>
    <x v="279"/>
    <n v="165.3"/>
    <n v="275.07"/>
    <n v="0.13300000000000001"/>
    <n v="25"/>
    <n v="5962.1422499999999"/>
    <n v="4132.5"/>
    <n v="1829.6422499999999"/>
    <n v="0.30687665159280625"/>
  </r>
  <r>
    <s v="ORD-2024-578646"/>
    <x v="244"/>
    <d v="2024-02-29T00:00:00"/>
    <n v="-1"/>
    <s v="QUARTER 1"/>
    <s v="Americas"/>
    <x v="4"/>
    <s v="São Paulo"/>
    <s v="Non-Profit"/>
    <s v="Distributor"/>
    <s v="I. Johnson"/>
    <x v="2"/>
    <x v="280"/>
    <n v="5.34"/>
    <n v="12.69"/>
    <n v="0.13200000000000001"/>
    <n v="10"/>
    <n v="110.14919999999999"/>
    <n v="53.4"/>
    <n v="56.749199999999995"/>
    <n v="0.51520301554618642"/>
  </r>
  <r>
    <s v="ORD-2025-278048"/>
    <x v="6"/>
    <d v="2023-07-22T00:00:00"/>
    <n v="4"/>
    <s v="QUARTER 3"/>
    <s v="Americas"/>
    <x v="4"/>
    <s v="São Paulo"/>
    <s v="Consumer"/>
    <s v="Retail"/>
    <s v="F. Müller"/>
    <x v="1"/>
    <x v="281"/>
    <n v="1269.55"/>
    <n v="2071.1"/>
    <n v="0.129"/>
    <n v="22"/>
    <n v="39686.4182"/>
    <n v="27930.1"/>
    <n v="11756.318200000002"/>
    <n v="0.29623026549672354"/>
  </r>
  <r>
    <s v="ORD-2024-382152"/>
    <x v="245"/>
    <d v="2023-08-15T00:00:00"/>
    <n v="5"/>
    <s v="QUARTER 3"/>
    <s v="Americas"/>
    <x v="4"/>
    <s v="São Paulo"/>
    <s v="Education"/>
    <s v="Distributor"/>
    <s v="G. Dubois"/>
    <x v="1"/>
    <x v="282"/>
    <n v="1307.52"/>
    <n v="1921.65"/>
    <n v="0.123"/>
    <n v="13"/>
    <n v="21908.731650000002"/>
    <n v="16997.759999999998"/>
    <n v="4910.9716500000031"/>
    <n v="0.22415590863289445"/>
  </r>
  <r>
    <s v="ORD-2025-939953"/>
    <x v="246"/>
    <d v="2024-04-05T00:00:00"/>
    <n v="10"/>
    <s v="QUARTER 1"/>
    <s v="Americas"/>
    <x v="3"/>
    <s v="Austin"/>
    <s v="Consumer"/>
    <s v="Retail"/>
    <s v="J. Njeri"/>
    <x v="3"/>
    <x v="283"/>
    <n v="5.66"/>
    <n v="4.22"/>
    <n v="0.11899999999999999"/>
    <n v="18"/>
    <n v="66.920760000000001"/>
    <n v="101.88"/>
    <n v="-34.959239999999994"/>
    <n v="-0.52239753403876454"/>
  </r>
  <r>
    <s v="ORD-2025-678328"/>
    <x v="247"/>
    <d v="2024-04-11T00:00:00"/>
    <n v="15"/>
    <s v="QUARTER 1"/>
    <s v="Americas"/>
    <x v="3"/>
    <s v="San Francisco"/>
    <s v="Small Business"/>
    <s v="Online"/>
    <s v="O. Wang"/>
    <x v="1"/>
    <x v="284"/>
    <n v="1338.35"/>
    <n v="2247.14"/>
    <n v="0.115"/>
    <n v="40"/>
    <n v="79548.755999999994"/>
    <n v="53534"/>
    <n v="26014.755999999994"/>
    <n v="0.32702907384246205"/>
  </r>
  <r>
    <s v="ORD-2023-869884"/>
    <x v="248"/>
    <d v="2023-03-05T00:00:00"/>
    <n v="3"/>
    <s v="QUARTER 1"/>
    <s v="Americas"/>
    <x v="4"/>
    <s v="Brasília"/>
    <s v="Enterprise"/>
    <s v="Direct"/>
    <s v="G. Dubois"/>
    <x v="3"/>
    <x v="285"/>
    <n v="1473.58"/>
    <n v="3436.52"/>
    <n v="0.108"/>
    <n v="8"/>
    <n v="24523.006720000001"/>
    <n v="11788.64"/>
    <n v="12734.366720000002"/>
    <n v="0.51928243813652564"/>
  </r>
  <r>
    <s v="ORD-2024-207096"/>
    <x v="199"/>
    <d v="2023-07-08T00:00:00"/>
    <n v="18"/>
    <s v="QUARTER 2"/>
    <s v="Americas"/>
    <x v="3"/>
    <s v="Austin"/>
    <s v="Non-Profit"/>
    <s v="Direct"/>
    <s v="F. Müller"/>
    <x v="3"/>
    <x v="286"/>
    <n v="337"/>
    <n v="511.03"/>
    <n v="0.108"/>
    <n v="7"/>
    <n v="3190.8713200000002"/>
    <n v="2359"/>
    <n v="831.8713200000002"/>
    <n v="0.26070349963219458"/>
  </r>
  <r>
    <s v="ORD-2024-566589"/>
    <x v="249"/>
    <d v="2024-06-24T00:00:00"/>
    <n v="21"/>
    <s v="QUARTER 2"/>
    <s v="Americas"/>
    <x v="5"/>
    <s v="Toronto"/>
    <s v="Small Business"/>
    <s v="Direct"/>
    <s v="G. Dubois"/>
    <x v="3"/>
    <x v="287"/>
    <n v="1205.5"/>
    <n v="2210.17"/>
    <n v="0.104"/>
    <n v="23"/>
    <n v="45547.183360000003"/>
    <n v="27726.5"/>
    <n v="17820.683360000003"/>
    <n v="0.39125763758314652"/>
  </r>
  <r>
    <s v="ORD-2023-898009"/>
    <x v="130"/>
    <d v="2024-08-02T00:00:00"/>
    <n v="8"/>
    <s v="QUARTER 3"/>
    <s v="Americas"/>
    <x v="5"/>
    <s v="Montreal"/>
    <s v="Consumer"/>
    <s v="Retail"/>
    <s v="J. Njeri"/>
    <x v="5"/>
    <x v="288"/>
    <n v="986.81"/>
    <n v="2050.31"/>
    <n v="0.10299999999999999"/>
    <n v="43"/>
    <n v="79082.507010000001"/>
    <n v="42432.829999999994"/>
    <n v="36649.677010000007"/>
    <n v="0.46343595310358138"/>
  </r>
  <r>
    <s v="ORD-2023-309373"/>
    <x v="250"/>
    <d v="2023-07-14T00:00:00"/>
    <n v="9"/>
    <s v="QUARTER 3"/>
    <s v="Americas"/>
    <x v="4"/>
    <s v="Brasília"/>
    <s v="Enterprise"/>
    <s v="Direct"/>
    <s v="B. Chen"/>
    <x v="1"/>
    <x v="289"/>
    <n v="578.85"/>
    <n v="998.76"/>
    <n v="8.2000000000000003E-2"/>
    <n v="28"/>
    <n v="25672.127039999999"/>
    <n v="16207.800000000001"/>
    <n v="9464.3270399999983"/>
    <n v="0.36866158480960831"/>
  </r>
  <r>
    <s v="ORD-2025-861401"/>
    <x v="251"/>
    <d v="2023-11-30T00:00:00"/>
    <n v="16"/>
    <s v="QUARTER 4"/>
    <s v="Americas"/>
    <x v="4"/>
    <s v="São Paulo"/>
    <s v="Enterprise"/>
    <s v="Online"/>
    <s v="K. Singh"/>
    <x v="1"/>
    <x v="290"/>
    <n v="1017.92"/>
    <n v="1175.25"/>
    <n v="7.4999999999999997E-2"/>
    <n v="15"/>
    <n v="16306.59375"/>
    <n v="15268.8"/>
    <n v="1037.7937500000007"/>
    <n v="6.3642583234159542E-2"/>
  </r>
  <r>
    <s v="ORD-2024-451005"/>
    <x v="19"/>
    <d v="2024-06-28T00:00:00"/>
    <n v="-2"/>
    <s v="QUARTER 2"/>
    <s v="Americas"/>
    <x v="4"/>
    <s v="Rio de Janeiro"/>
    <s v="Small Business"/>
    <s v="Online"/>
    <s v="L. Okafor"/>
    <x v="5"/>
    <x v="291"/>
    <n v="1112.98"/>
    <n v="2095.73"/>
    <n v="7.1999999999999995E-2"/>
    <n v="17"/>
    <n v="33062.236480000007"/>
    <n v="18920.66"/>
    <n v="14141.576480000007"/>
    <n v="0.42772594916724777"/>
  </r>
  <r>
    <s v="ORD-2024-310809"/>
    <x v="252"/>
    <d v="2025-03-27T00:00:00"/>
    <n v="17"/>
    <s v="QUARTER 1"/>
    <s v="Americas"/>
    <x v="4"/>
    <s v="Rio de Janeiro"/>
    <s v="Enterprise"/>
    <s v="Direct"/>
    <s v="F. Müller"/>
    <x v="1"/>
    <x v="292"/>
    <n v="996.73"/>
    <n v="1217.43"/>
    <n v="7.0000000000000007E-2"/>
    <n v="9"/>
    <n v="10189.8891"/>
    <n v="8970.57"/>
    <n v="1219.3191000000006"/>
    <n v="0.11965970267527255"/>
  </r>
  <r>
    <s v="ORD-2025-650719"/>
    <x v="253"/>
    <d v="2025-02-28T00:00:00"/>
    <n v="16"/>
    <s v="QUARTER 1"/>
    <s v="Americas"/>
    <x v="4"/>
    <s v="São Paulo"/>
    <s v="Non-Profit"/>
    <s v="Retail"/>
    <s v="B. Chen"/>
    <x v="3"/>
    <x v="293"/>
    <n v="414.95"/>
    <n v="1027.73"/>
    <n v="6.3E-2"/>
    <n v="8"/>
    <n v="7703.8640800000003"/>
    <n v="3319.6"/>
    <n v="4384.2640800000008"/>
    <n v="0.56909935513815568"/>
  </r>
  <r>
    <s v="ORD-2024-588972"/>
    <x v="254"/>
    <d v="2024-11-29T00:00:00"/>
    <n v="27"/>
    <s v="QUARTER 4"/>
    <s v="Americas"/>
    <x v="4"/>
    <s v="Brasília"/>
    <s v="Small Business"/>
    <s v="Retail"/>
    <s v="I. Johnson"/>
    <x v="1"/>
    <x v="294"/>
    <n v="1363.51"/>
    <n v="1433.9"/>
    <n v="5.7000000000000002E-2"/>
    <n v="8"/>
    <n v="10817.3416"/>
    <n v="10908.08"/>
    <n v="-90.738400000000183"/>
    <n v="-8.3882346842037592E-3"/>
  </r>
  <r>
    <s v="ORD-2024-999607"/>
    <x v="255"/>
    <d v="2023-01-19T00:00:00"/>
    <n v="6"/>
    <s v="QUARTER 1"/>
    <s v="Americas"/>
    <x v="3"/>
    <s v="Chicago"/>
    <s v="Corporate"/>
    <m/>
    <s v="H. Kim"/>
    <x v="2"/>
    <x v="295"/>
    <n v="833.57"/>
    <n v="881.57"/>
    <n v="5.7000000000000002E-2"/>
    <n v="18"/>
    <n v="14963.769179999999"/>
    <n v="15004.26"/>
    <n v="-40.490820000000895"/>
    <n v="-2.7059238560107821E-3"/>
  </r>
  <r>
    <s v="ORD-2023-166668"/>
    <x v="256"/>
    <d v="2025-05-27T00:00:00"/>
    <n v="17"/>
    <s v="QUARTER 2"/>
    <s v="Americas"/>
    <x v="5"/>
    <s v="Vancouver"/>
    <s v="Education"/>
    <s v="Distributor"/>
    <s v="C. Otieno"/>
    <x v="0"/>
    <x v="296"/>
    <n v="862.89"/>
    <n v="1426.03"/>
    <n v="5.6000000000000001E-2"/>
    <n v="19"/>
    <n v="25577.274079999999"/>
    <n v="16394.91"/>
    <n v="9182.3640799999994"/>
    <n v="0.35900479665188778"/>
  </r>
  <r>
    <s v="ORD-2023-144816"/>
    <x v="257"/>
    <d v="2024-10-08T00:00:00"/>
    <n v="29"/>
    <s v="QUARTER 3"/>
    <s v="Americas"/>
    <x v="4"/>
    <s v="São Paulo"/>
    <s v="Education"/>
    <s v="Distributor"/>
    <s v="J. Njeri"/>
    <x v="0"/>
    <x v="297"/>
    <n v="1010.33"/>
    <n v="2492.14"/>
    <n v="5.0999999999999997E-2"/>
    <n v="11"/>
    <n v="26015.449459999996"/>
    <n v="11113.630000000001"/>
    <n v="14901.819459999995"/>
    <n v="0.57280653493656752"/>
  </r>
  <r>
    <s v="ORD-2023-835010"/>
    <x v="258"/>
    <d v="2025-04-27T00:00:00"/>
    <n v="26"/>
    <s v="QUARTER 2"/>
    <s v="Americas"/>
    <x v="3"/>
    <s v="San Francisco"/>
    <s v="Corporate"/>
    <s v="Marketplace"/>
    <s v="I. Johnson"/>
    <x v="3"/>
    <x v="298"/>
    <n v="156.55000000000001"/>
    <n v="227.45"/>
    <n v="1.4E-2"/>
    <n v="13"/>
    <n v="2915.4540999999999"/>
    <n v="2035.15"/>
    <n v="880.30409999999983"/>
    <n v="0.3019440779396938"/>
  </r>
  <r>
    <s v="ORD-2023-880296"/>
    <x v="259"/>
    <d v="2023-12-12T00:00:00"/>
    <n v="7"/>
    <s v="QUARTER 4"/>
    <s v="Americas"/>
    <x v="4"/>
    <s v="Brasília"/>
    <s v="Corporate"/>
    <s v="Direct"/>
    <s v="F. Müller"/>
    <x v="2"/>
    <x v="299"/>
    <n v="307.43"/>
    <n v="495.19"/>
    <n v="0"/>
    <n v="42"/>
    <n v="20797.98"/>
    <n v="12912.06"/>
    <n v="7885.92"/>
    <n v="0.37916759223732305"/>
  </r>
  <r>
    <s v="ORD-2024-510591"/>
    <x v="260"/>
    <d v="2025-09-11T00:00:00"/>
    <n v="28"/>
    <s v="QUARTER 3"/>
    <s v="Americas"/>
    <x v="4"/>
    <s v="São Paulo"/>
    <s v="Non-Profit"/>
    <s v="Distributor"/>
    <s v="F. Müller"/>
    <x v="4"/>
    <x v="300"/>
    <n v="1203.02"/>
    <n v="2439.33"/>
    <n v="0"/>
    <n v="18"/>
    <n v="43907.94"/>
    <n v="21654.36"/>
    <n v="22253.58"/>
    <n v="0.50682359500354612"/>
  </r>
  <r>
    <s v="ORD-2024-885858"/>
    <x v="261"/>
    <d v="2024-01-01T00:00:00"/>
    <n v="8"/>
    <s v="QUARTER 4"/>
    <s v="Americas"/>
    <x v="4"/>
    <s v="São Paulo"/>
    <s v="Education"/>
    <s v="Online"/>
    <s v="C. Otieno"/>
    <x v="2"/>
    <x v="301"/>
    <n v="526.49"/>
    <n v="496.2"/>
    <n v="0"/>
    <n v="14"/>
    <n v="6946.8"/>
    <n v="7370.8600000000006"/>
    <n v="-424.0600000000004"/>
    <n v="-6.1043933897621985E-2"/>
  </r>
  <r>
    <s v="ORD-2023-594700"/>
    <x v="262"/>
    <d v="2023-10-31T00:00:00"/>
    <n v="26"/>
    <s v="QUARTER 4"/>
    <s v="Asia"/>
    <x v="6"/>
    <s v="Shanghai"/>
    <s v="Consumer"/>
    <s v="Online"/>
    <s v="J. Njeri"/>
    <x v="4"/>
    <x v="302"/>
    <n v="649.91"/>
    <n v="1360.12"/>
    <n v="0.19400000000000001"/>
    <n v="9"/>
    <n v="9866.3104799999983"/>
    <n v="5849.19"/>
    <n v="4017.1204799999987"/>
    <n v="0.40715528749506769"/>
  </r>
  <r>
    <s v="ORD-2024-745424"/>
    <x v="263"/>
    <d v="2023-09-28T00:00:00"/>
    <n v="8"/>
    <s v="QUARTER 3"/>
    <s v="Asia"/>
    <x v="7"/>
    <s v="Unknown"/>
    <s v="Corporate"/>
    <s v="Marketplace"/>
    <s v="B. Chen"/>
    <x v="5"/>
    <x v="303"/>
    <n v="1362.06"/>
    <n v="3398.37"/>
    <n v="0.157"/>
    <n v="11"/>
    <n v="31513.085009999999"/>
    <n v="14982.66"/>
    <n v="16530.425009999999"/>
    <n v="0.52455749745714919"/>
  </r>
  <r>
    <s v="ORD-2025-411385"/>
    <x v="45"/>
    <d v="2024-12-10T00:00:00"/>
    <n v="10"/>
    <s v="QUARTER 4"/>
    <s v="Asia"/>
    <x v="7"/>
    <s v="Hyderabad"/>
    <s v="Small Business"/>
    <s v="Online"/>
    <s v="F. Müller"/>
    <x v="5"/>
    <x v="304"/>
    <n v="851.49"/>
    <n v="901.79"/>
    <n v="0.245"/>
    <n v="16"/>
    <n v="10893.6232"/>
    <n v="13623.84"/>
    <n v="-2730.2168000000001"/>
    <n v="-0.25062522816100341"/>
  </r>
  <r>
    <s v="ORD-2025-588029"/>
    <x v="264"/>
    <d v="2024-12-20T00:00:00"/>
    <n v="8"/>
    <s v="QUARTER 4"/>
    <s v="Asia"/>
    <x v="8"/>
    <s v="Tokyo"/>
    <s v="Corporate"/>
    <s v="Retail"/>
    <s v="B. Chen"/>
    <x v="6"/>
    <x v="305"/>
    <n v="1202.47"/>
    <n v="1444.72"/>
    <n v="0.24099999999999999"/>
    <n v="17"/>
    <n v="18641.222160000001"/>
    <n v="20441.990000000002"/>
    <n v="-1800.7678400000004"/>
    <n v="-9.6601382921343834E-2"/>
  </r>
  <r>
    <s v="ORD-2023-825836"/>
    <x v="181"/>
    <d v="2023-02-28T00:00:00"/>
    <n v="30"/>
    <s v="QUARTER 1"/>
    <s v="Asia"/>
    <x v="7"/>
    <s v="Bengaluru"/>
    <s v="Non-Profit"/>
    <s v="Retail"/>
    <s v="B. Chen"/>
    <x v="5"/>
    <x v="306"/>
    <n v="1262.0999999999999"/>
    <n v="1395.53"/>
    <n v="0.23300000000000001"/>
    <n v="25"/>
    <n v="26759.28775"/>
    <n v="31552.499999999996"/>
    <n v="-4793.2122499999969"/>
    <n v="-0.17912331205452198"/>
  </r>
  <r>
    <s v="ORD-2023-157993"/>
    <x v="265"/>
    <d v="2023-05-18T00:00:00"/>
    <n v="30"/>
    <s v="QUARTER 2"/>
    <s v="Asia"/>
    <x v="6"/>
    <s v="Shenzhen"/>
    <s v="Non-Profit"/>
    <s v="Direct"/>
    <s v="H. Kim"/>
    <x v="6"/>
    <x v="307"/>
    <n v="329.03"/>
    <n v="391.15"/>
    <n v="0.19700000000000001"/>
    <n v="46"/>
    <n v="14448.298699999998"/>
    <n v="15135.38"/>
    <n v="-687.08130000000165"/>
    <n v="-4.7554477815440081E-2"/>
  </r>
  <r>
    <s v="ORD-2025-649633"/>
    <x v="266"/>
    <d v="2024-08-23T00:00:00"/>
    <n v="26"/>
    <s v="QUARTER 3"/>
    <s v="Asia"/>
    <x v="7"/>
    <s v="Hyderabad"/>
    <s v="Corporate"/>
    <s v="Marketplace"/>
    <s v="J. Njeri"/>
    <x v="1"/>
    <x v="308"/>
    <n v="1339.24"/>
    <n v="1558.89"/>
    <n v="0.192"/>
    <n v="24"/>
    <n v="30229.994880000002"/>
    <n v="32141.760000000002"/>
    <n v="-1911.76512"/>
    <n v="-6.3240669659021781E-2"/>
  </r>
  <r>
    <s v="ORD-2023-304451"/>
    <x v="267"/>
    <d v="2023-10-23T00:00:00"/>
    <n v="16"/>
    <s v="QUARTER 4"/>
    <s v="Asia"/>
    <x v="7"/>
    <s v="Hyderabad"/>
    <s v="Consumer"/>
    <s v="Marketplace"/>
    <s v="G. Dubois"/>
    <x v="3"/>
    <x v="309"/>
    <n v="906.81"/>
    <n v="1395.56"/>
    <n v="0.185"/>
    <n v="6"/>
    <n v="6824.2884000000004"/>
    <n v="5440.86"/>
    <n v="1383.4284000000007"/>
    <n v="0.20272126834498974"/>
  </r>
  <r>
    <s v="ORD-2024-225829"/>
    <x v="268"/>
    <d v="2024-08-20T00:00:00"/>
    <n v="12"/>
    <s v="QUARTER 3"/>
    <s v="Asia"/>
    <x v="8"/>
    <s v="Osaka"/>
    <s v="Small Business"/>
    <s v="Online"/>
    <s v="H. Kim"/>
    <x v="1"/>
    <x v="310"/>
    <n v="1233.3599999999999"/>
    <n v="2120.4"/>
    <n v="0.17899999999999999"/>
    <n v="20"/>
    <n v="34816.968000000001"/>
    <n v="24667.199999999997"/>
    <n v="10149.768000000004"/>
    <n v="0.29151785991244278"/>
  </r>
  <r>
    <s v="ORD-2025-652467"/>
    <x v="269"/>
    <d v="2025-09-12T00:00:00"/>
    <n v="22"/>
    <s v="QUARTER 3"/>
    <s v="Asia"/>
    <x v="6"/>
    <s v="Shenzhen"/>
    <s v="Education"/>
    <s v="Retail"/>
    <s v="B. Chen"/>
    <x v="4"/>
    <x v="311"/>
    <n v="352.66"/>
    <n v="411.18"/>
    <n v="0.17299999999999999"/>
    <n v="13"/>
    <n v="4420.5961799999995"/>
    <n v="4584.58"/>
    <n v="-163.98382000000038"/>
    <n v="-3.7095408248758066E-2"/>
  </r>
  <r>
    <s v="ORD-2023-308124"/>
    <x v="214"/>
    <d v="2023-04-30T00:00:00"/>
    <n v="11"/>
    <s v="QUARTER 2"/>
    <s v="Asia"/>
    <x v="7"/>
    <s v="Delhi"/>
    <s v="Small Business"/>
    <s v="Marketplace"/>
    <s v="A. Patel"/>
    <x v="1"/>
    <x v="312"/>
    <n v="826.55"/>
    <n v="1397.05"/>
    <n v="0.16900000000000001"/>
    <n v="28"/>
    <n v="32506.559399999998"/>
    <n v="23143.399999999998"/>
    <n v="9363.1594000000005"/>
    <n v="0.28803907804527601"/>
  </r>
  <r>
    <s v="ORD-2024-468655"/>
    <x v="238"/>
    <d v="2025-09-25T00:00:00"/>
    <n v="10"/>
    <s v="QUARTER 3"/>
    <s v="Asia"/>
    <x v="7"/>
    <s v="Delhi"/>
    <s v="Consumer"/>
    <s v="Direct"/>
    <s v="A. Patel"/>
    <x v="2"/>
    <x v="313"/>
    <n v="1488.91"/>
    <n v="1483.74"/>
    <n v="0.16800000000000001"/>
    <n v="24"/>
    <n v="29627.320319999999"/>
    <n v="35733.840000000004"/>
    <n v="-6106.5196800000049"/>
    <n v="-0.20611110333450519"/>
  </r>
  <r>
    <s v="ORD-2023-548934"/>
    <x v="73"/>
    <d v="2024-01-16T00:00:00"/>
    <n v="25"/>
    <s v="QUARTER 4"/>
    <s v="Asia"/>
    <x v="7"/>
    <s v="Hyderabad"/>
    <s v="Small Business"/>
    <s v="Retail"/>
    <s v="A. Patel"/>
    <x v="0"/>
    <x v="314"/>
    <n v="1346.81"/>
    <n v="978.09"/>
    <n v="0.159"/>
    <n v="17"/>
    <n v="13983.752729999998"/>
    <n v="22895.77"/>
    <n v="-8912.0172700000021"/>
    <n v="-0.6373122753293996"/>
  </r>
  <r>
    <s v="ORD-2024-594592"/>
    <x v="270"/>
    <d v="2024-04-25T00:00:00"/>
    <n v="19"/>
    <s v="QUARTER 2"/>
    <s v="Asia"/>
    <x v="6"/>
    <s v="Shanghai"/>
    <s v="Corporate"/>
    <s v="Direct"/>
    <s v="K. Singh"/>
    <x v="0"/>
    <x v="315"/>
    <n v="1366.48"/>
    <n v="1678.14"/>
    <n v="0.154"/>
    <n v="10"/>
    <n v="14197.064400000001"/>
    <n v="13664.8"/>
    <n v="532.26440000000184"/>
    <n v="3.7491159087790132E-2"/>
  </r>
  <r>
    <s v="ORD-2023-294716"/>
    <x v="271"/>
    <d v="2025-05-18T00:00:00"/>
    <n v="2"/>
    <s v="QUARTER 2"/>
    <s v="Asia"/>
    <x v="8"/>
    <s v="Tokyo"/>
    <s v="Enterprise"/>
    <s v="Direct"/>
    <s v="J. Njeri"/>
    <x v="4"/>
    <x v="316"/>
    <n v="1144.3800000000001"/>
    <n v="2755.04"/>
    <n v="0.15"/>
    <n v="17"/>
    <n v="39810.328000000001"/>
    <n v="19454.460000000003"/>
    <n v="20355.867999999999"/>
    <n v="0.51132128326096682"/>
  </r>
  <r>
    <s v="ORD-2023-835226"/>
    <x v="272"/>
    <d v="2023-10-03T00:00:00"/>
    <n v="3"/>
    <s v="QUARTER 3"/>
    <s v="Asia"/>
    <x v="6"/>
    <s v="Beijing"/>
    <s v="Non-Profit"/>
    <s v="Retail"/>
    <s v="J. Njeri"/>
    <x v="6"/>
    <x v="250"/>
    <n v="1019.36"/>
    <n v="972.91"/>
    <n v="0.14699999999999999"/>
    <n v="17"/>
    <n v="14108.16791"/>
    <n v="17329.12"/>
    <n v="-3220.9520899999989"/>
    <n v="-0.22830406545678819"/>
  </r>
  <r>
    <s v="ORD-2025-728935"/>
    <x v="273"/>
    <d v="2023-12-19T00:00:00"/>
    <n v="30"/>
    <s v="QUARTER 4"/>
    <s v="Asia"/>
    <x v="8"/>
    <s v="Nagoya"/>
    <s v="Consumer"/>
    <s v="Distributor"/>
    <s v="Unknown"/>
    <x v="2"/>
    <x v="317"/>
    <n v="807.11"/>
    <n v="1853.86"/>
    <n v="0.13900000000000001"/>
    <n v="8"/>
    <n v="12769.38768"/>
    <n v="6456.88"/>
    <n v="6312.5076799999997"/>
    <n v="0.49434693645388639"/>
  </r>
  <r>
    <s v="ORD-2023-960380"/>
    <x v="274"/>
    <d v="2024-06-09T00:00:00"/>
    <n v="2"/>
    <s v="QUARTER 2"/>
    <s v="Asia"/>
    <x v="6"/>
    <s v="Shanghai"/>
    <s v="Corporate"/>
    <s v="Distributor"/>
    <s v="O. Wang"/>
    <x v="3"/>
    <x v="318"/>
    <n v="1370.28"/>
    <n v="2209.66"/>
    <n v="0.13300000000000001"/>
    <n v="16"/>
    <n v="30652.403519999996"/>
    <n v="21924.48"/>
    <n v="8727.9235199999966"/>
    <n v="0.28473863442079589"/>
  </r>
  <r>
    <s v="ORD-2025-262434"/>
    <x v="275"/>
    <d v="2023-05-14T00:00:00"/>
    <n v="22"/>
    <s v="QUARTER 2"/>
    <s v="Asia"/>
    <x v="8"/>
    <s v="Nagoya"/>
    <s v="Enterprise"/>
    <s v="Retail"/>
    <s v="A. Patel"/>
    <x v="5"/>
    <x v="319"/>
    <n v="1209.22"/>
    <n v="1404.33"/>
    <n v="0.10299999999999999"/>
    <n v="11"/>
    <n v="13856.52411"/>
    <n v="13301.42"/>
    <n v="555.10411000000022"/>
    <n v="4.0060848275751328E-2"/>
  </r>
  <r>
    <s v="ORD-2023-824839"/>
    <x v="276"/>
    <d v="2023-12-31T00:00:00"/>
    <n v="25"/>
    <s v="QUARTER 4"/>
    <s v="Asia"/>
    <x v="8"/>
    <s v="Osaka"/>
    <s v="Consumer"/>
    <s v="Online"/>
    <s v="L. Okafor"/>
    <x v="4"/>
    <x v="320"/>
    <n v="663.03"/>
    <n v="813.51"/>
    <n v="0.10199999999999999"/>
    <n v="15"/>
    <n v="10957.9797"/>
    <n v="9945.4499999999989"/>
    <n v="1012.529700000001"/>
    <n v="9.2401129379715952E-2"/>
  </r>
  <r>
    <s v="ORD-2024-468615"/>
    <x v="277"/>
    <d v="2023-05-27T00:00:00"/>
    <n v="17"/>
    <s v="QUARTER 2"/>
    <s v="Asia"/>
    <x v="7"/>
    <s v="Mumbai"/>
    <s v="Consumer"/>
    <s v="Marketplace"/>
    <s v="M. Rossi"/>
    <x v="6"/>
    <x v="321"/>
    <n v="1286.1600000000001"/>
    <n v="3101.11"/>
    <n v="0.1"/>
    <n v="23"/>
    <n v="64192.976999999999"/>
    <n v="29581.68"/>
    <n v="34611.296999999999"/>
    <n v="0.53917575749758417"/>
  </r>
  <r>
    <s v="ORD-2025-677880"/>
    <x v="278"/>
    <d v="2025-06-08T00:00:00"/>
    <n v="12"/>
    <s v="QUARTER 2"/>
    <s v="Asia"/>
    <x v="8"/>
    <s v="Osaka"/>
    <s v="Corporate"/>
    <s v="Distributor"/>
    <s v="H. Kim"/>
    <x v="5"/>
    <x v="322"/>
    <n v="653.6"/>
    <n v="842.09"/>
    <n v="9.8000000000000004E-2"/>
    <n v="19"/>
    <n v="14431.738420000001"/>
    <n v="12418.4"/>
    <n v="2013.3384200000019"/>
    <n v="0.13950768517324622"/>
  </r>
  <r>
    <s v="ORD-2025-222035"/>
    <x v="279"/>
    <d v="2025-06-14T00:00:00"/>
    <n v="9"/>
    <s v="QUARTER 2"/>
    <s v="Asia"/>
    <x v="7"/>
    <s v="Delhi"/>
    <s v="Non-Profit"/>
    <s v="Direct"/>
    <s v="A. Patel"/>
    <x v="5"/>
    <x v="323"/>
    <n v="618.69000000000005"/>
    <n v="796.15"/>
    <n v="0.09"/>
    <n v="11"/>
    <n v="7969.4615000000003"/>
    <n v="6805.59"/>
    <n v="1163.8715000000002"/>
    <n v="0.14604142325049191"/>
  </r>
  <r>
    <s v="ORD-2023-883066"/>
    <x v="280"/>
    <d v="2023-09-06T00:00:00"/>
    <n v="25"/>
    <s v="QUARTER 3"/>
    <s v="Asia"/>
    <x v="6"/>
    <s v="Shanghai"/>
    <s v="Small Business"/>
    <s v="Direct"/>
    <s v="B. Chen"/>
    <x v="0"/>
    <x v="324"/>
    <n v="950.77"/>
    <n v="694.78"/>
    <n v="8.4000000000000005E-2"/>
    <n v="14"/>
    <n v="8909.8587200000002"/>
    <n v="13310.779999999999"/>
    <n v="-4400.9212799999987"/>
    <n v="-0.49393839097821279"/>
  </r>
  <r>
    <s v="ORD-2025-177994"/>
    <x v="281"/>
    <d v="2023-06-01T00:00:00"/>
    <n v="0"/>
    <s v="QUARTER 2"/>
    <s v="Asia"/>
    <x v="7"/>
    <s v="Bengaluru"/>
    <s v="Corporate"/>
    <s v="Direct"/>
    <s v="E. Garcia"/>
    <x v="5"/>
    <x v="325"/>
    <n v="669.37"/>
    <n v="997.2"/>
    <n v="8.2000000000000003E-2"/>
    <n v="5"/>
    <n v="4577.1480000000001"/>
    <n v="3346.85"/>
    <n v="1230.2980000000002"/>
    <n v="0.26879139586484863"/>
  </r>
  <r>
    <s v="ORD-2025-881624"/>
    <x v="282"/>
    <d v="2025-01-14T00:00:00"/>
    <n v="25"/>
    <s v="QUARTER 4"/>
    <s v="Asia"/>
    <x v="7"/>
    <s v="Delhi"/>
    <s v="Small Business"/>
    <s v="Direct"/>
    <s v="M. Rossi"/>
    <x v="4"/>
    <x v="326"/>
    <n v="1361.34"/>
    <n v="1737.9"/>
    <n v="7.6999999999999999E-2"/>
    <n v="14"/>
    <n v="22457.143800000002"/>
    <n v="19058.759999999998"/>
    <n v="3398.3838000000032"/>
    <n v="0.15132751654731813"/>
  </r>
  <r>
    <s v="ORD-2023-427304"/>
    <x v="283"/>
    <d v="2023-06-19T00:00:00"/>
    <n v="10"/>
    <s v="QUARTER 2"/>
    <s v="Asia"/>
    <x v="6"/>
    <s v="Beijing"/>
    <s v="Enterprise"/>
    <s v="Retail"/>
    <s v="F. Müller"/>
    <x v="3"/>
    <x v="327"/>
    <n v="339.61"/>
    <n v="621.02"/>
    <n v="7.0999999999999994E-2"/>
    <n v="10"/>
    <n v="5769.2758000000003"/>
    <n v="3396.1000000000004"/>
    <n v="2373.1758"/>
    <n v="0.41134726129750981"/>
  </r>
  <r>
    <s v="ORD-2025-417942"/>
    <x v="284"/>
    <d v="2024-05-16T00:00:00"/>
    <n v="15"/>
    <s v="QUARTER 2"/>
    <s v="Asia"/>
    <x v="7"/>
    <s v="Bengaluru"/>
    <s v="Small Business"/>
    <s v="Marketplace"/>
    <s v="L. Okafor"/>
    <x v="0"/>
    <x v="328"/>
    <n v="901.19"/>
    <n v="2125.44"/>
    <n v="7.0999999999999994E-2"/>
    <n v="12"/>
    <n v="23694.405119999999"/>
    <n v="10814.28"/>
    <n v="12880.125119999999"/>
    <n v="0.54359352154100415"/>
  </r>
  <r>
    <s v="ORD-2023-809913"/>
    <x v="285"/>
    <d v="2023-05-10T00:00:00"/>
    <n v="19"/>
    <s v="QUARTER 2"/>
    <s v="Asia"/>
    <x v="6"/>
    <s v="Shanghai"/>
    <s v="Corporate"/>
    <s v="Direct"/>
    <s v="A. Patel"/>
    <x v="0"/>
    <x v="329"/>
    <n v="882.33"/>
    <n v="1880.15"/>
    <n v="0.05"/>
    <n v="5"/>
    <n v="8930.7124999999996"/>
    <n v="4411.6500000000005"/>
    <n v="4519.0624999999991"/>
    <n v="0.50601365792482955"/>
  </r>
  <r>
    <s v="ORD-2024-567435"/>
    <x v="286"/>
    <d v="2023-05-16T00:00:00"/>
    <n v="14"/>
    <s v="QUARTER 2"/>
    <s v="Asia"/>
    <x v="7"/>
    <s v="Bengaluru"/>
    <s v="Non-Profit"/>
    <s v="Distributor"/>
    <s v="L. Okafor"/>
    <x v="3"/>
    <x v="330"/>
    <n v="475.37"/>
    <n v="963.73"/>
    <n v="4.1000000000000002E-2"/>
    <n v="22"/>
    <n v="20332.775539999999"/>
    <n v="10458.14"/>
    <n v="9874.6355399999993"/>
    <n v="0.48565113604750881"/>
  </r>
  <r>
    <s v="ORD-2024-134084"/>
    <x v="287"/>
    <d v="2024-06-16T00:00:00"/>
    <n v="12"/>
    <s v="QUARTER 2"/>
    <s v="Asia"/>
    <x v="6"/>
    <s v="Shanghai"/>
    <s v="Corporate"/>
    <s v="Direct"/>
    <s v="J. Njeri"/>
    <x v="4"/>
    <x v="331"/>
    <n v="918.42"/>
    <n v="1511.71"/>
    <n v="0.02"/>
    <n v="8"/>
    <n v="11851.806399999999"/>
    <n v="7347.36"/>
    <n v="4504.4463999999998"/>
    <n v="0.38006412254590999"/>
  </r>
  <r>
    <s v="ORD-2023-975863"/>
    <x v="288"/>
    <d v="2023-12-05T00:00:00"/>
    <n v="15"/>
    <s v="QUARTER 4"/>
    <s v="Asia"/>
    <x v="8"/>
    <s v="Tokyo"/>
    <s v="Enterprise"/>
    <s v="Online"/>
    <s v="L. Okafor"/>
    <x v="1"/>
    <x v="332"/>
    <n v="354.24"/>
    <n v="249.87"/>
    <n v="0"/>
    <n v="6"/>
    <n v="1499.22"/>
    <n v="2125.44"/>
    <n v="-626.22"/>
    <n v="-0.41769720254532355"/>
  </r>
  <r>
    <s v="ORD-2024-542244"/>
    <x v="289"/>
    <d v="2023-12-19T00:00:00"/>
    <n v="3"/>
    <s v="QUARTER 4"/>
    <s v="Asia"/>
    <x v="6"/>
    <s v="Beijing"/>
    <s v="Education"/>
    <s v="Marketplace"/>
    <s v="A. Patel"/>
    <x v="5"/>
    <x v="333"/>
    <n v="1415.05"/>
    <n v="1972.38"/>
    <n v="0"/>
    <n v="12"/>
    <n v="23668.560000000001"/>
    <n v="16980.599999999999"/>
    <n v="6687.9600000000028"/>
    <n v="0.28256725377462771"/>
  </r>
  <r>
    <s v="ORD-2024-713332"/>
    <x v="290"/>
    <d v="2023-01-26T00:00:00"/>
    <n v="14"/>
    <s v="QUARTER 1"/>
    <s v="Asia"/>
    <x v="6"/>
    <s v="Shenzhen"/>
    <s v="Non-Profit"/>
    <s v="Marketplace"/>
    <s v="M. Rossi"/>
    <x v="4"/>
    <x v="334"/>
    <n v="1083.0899999999999"/>
    <n v="1425.87"/>
    <n v="0"/>
    <n v="8"/>
    <n v="11406.96"/>
    <n v="8664.7199999999993"/>
    <n v="2742.24"/>
    <n v="0.24040059752992909"/>
  </r>
  <r>
    <s v="ORD-2024-792558"/>
    <x v="291"/>
    <d v="2024-11-08T00:00:00"/>
    <n v="23"/>
    <s v="QUARTER 4"/>
    <s v="Asia"/>
    <x v="8"/>
    <s v="Osaka"/>
    <s v="Small Business"/>
    <s v="Distributor"/>
    <s v="J. Njeri"/>
    <x v="1"/>
    <x v="335"/>
    <n v="82.14"/>
    <n v="166.04"/>
    <n v="0"/>
    <n v="10"/>
    <n v="1660.3999999999999"/>
    <n v="821.4"/>
    <n v="838.99999999999989"/>
    <n v="0.50529992772825827"/>
  </r>
  <r>
    <s v="ORD-2024-833375"/>
    <x v="292"/>
    <d v="2024-07-12T00:00:00"/>
    <n v="3"/>
    <s v="QUARTER 3"/>
    <s v="Asia"/>
    <x v="6"/>
    <s v="Shanghai"/>
    <s v="Small Business"/>
    <s v="Online"/>
    <s v="D. Smith"/>
    <x v="5"/>
    <x v="336"/>
    <n v="748.39"/>
    <n v="979.42"/>
    <n v="0"/>
    <n v="23"/>
    <n v="22526.66"/>
    <n v="17212.97"/>
    <n v="5313.6899999999987"/>
    <n v="0.23588450307324738"/>
  </r>
  <r>
    <s v="ORD-2025-635337"/>
    <x v="293"/>
    <d v="2025-01-05T00:00:00"/>
    <n v="1"/>
    <s v="QUARTER 1"/>
    <s v="Asia"/>
    <x v="7"/>
    <s v="Delhi"/>
    <s v="Education"/>
    <s v="Distributor"/>
    <s v="I. Johnson"/>
    <x v="0"/>
    <x v="337"/>
    <n v="1428.33"/>
    <n v="3028.05"/>
    <n v="0"/>
    <n v="11"/>
    <n v="33308.550000000003"/>
    <n v="15711.63"/>
    <n v="17596.920000000006"/>
    <n v="0.52830039134096207"/>
  </r>
  <r>
    <s v="ORD-2025-874124"/>
    <x v="68"/>
    <d v="2023-05-20T00:00:00"/>
    <n v="13"/>
    <s v="QUARTER 2"/>
    <s v="Asia"/>
    <x v="7"/>
    <s v="Mumbai"/>
    <s v="Enterprise"/>
    <s v="Retail"/>
    <s v="D. Smith"/>
    <x v="5"/>
    <x v="338"/>
    <n v="1443.28"/>
    <n v="2580.5700000000002"/>
    <n v="0"/>
    <n v="18"/>
    <n v="46450.26"/>
    <n v="25979.040000000001"/>
    <n v="20471.22"/>
    <n v="0.4407127107577008"/>
  </r>
  <r>
    <s v="ORD-2023-386663"/>
    <x v="235"/>
    <d v="2024-03-26T00:00:00"/>
    <n v="17"/>
    <s v="QUARTER 1"/>
    <s v="Asia"/>
    <x v="6"/>
    <s v="Shenzhen"/>
    <s v="Enterprise"/>
    <s v="Direct"/>
    <s v="K. Singh"/>
    <x v="3"/>
    <x v="339"/>
    <n v="1029.67"/>
    <n v="1118.43"/>
    <n v="0.27200000000000002"/>
    <n v="9"/>
    <n v="7327.9533600000004"/>
    <n v="9267.0300000000007"/>
    <n v="-1939.0766400000002"/>
    <n v="-0.26461367106736061"/>
  </r>
  <r>
    <s v="ORD-2024-375848"/>
    <x v="294"/>
    <d v="2024-09-05T00:00:00"/>
    <n v="6"/>
    <s v="QUARTER 3"/>
    <s v="Asia"/>
    <x v="8"/>
    <s v="Nagoya"/>
    <s v="Education"/>
    <s v="Marketplace"/>
    <s v="N. Brown"/>
    <x v="6"/>
    <x v="340"/>
    <n v="466.16"/>
    <n v="876.81"/>
    <n v="0.24099999999999999"/>
    <n v="8"/>
    <n v="5323.9903199999999"/>
    <n v="3729.28"/>
    <n v="1594.7103199999997"/>
    <n v="0.29953291124691594"/>
  </r>
  <r>
    <s v="ORD-2023-197661"/>
    <x v="295"/>
    <d v="2024-02-19T00:00:00"/>
    <n v="16"/>
    <s v="QUARTER 1"/>
    <s v="Asia"/>
    <x v="6"/>
    <s v="Shenzhen"/>
    <s v="Small Business"/>
    <s v="Online"/>
    <s v="H. Kim"/>
    <x v="6"/>
    <x v="341"/>
    <n v="993.75"/>
    <n v="1310.29"/>
    <n v="0.215"/>
    <n v="19"/>
    <n v="19542.975350000001"/>
    <n v="18881.25"/>
    <n v="661.72535000000062"/>
    <n v="3.3860010471742245E-2"/>
  </r>
  <r>
    <s v="ORD-2025-354346"/>
    <x v="296"/>
    <d v="2025-01-15T00:00:00"/>
    <n v="6"/>
    <s v="QUARTER 1"/>
    <s v="Asia"/>
    <x v="6"/>
    <s v="Beijing"/>
    <s v="Education"/>
    <s v="Distributor"/>
    <s v="C. Otieno"/>
    <x v="2"/>
    <x v="342"/>
    <n v="304.77999999999997"/>
    <n v="537.27"/>
    <n v="0.187"/>
    <n v="8"/>
    <n v="3494.4040799999998"/>
    <n v="2438.2399999999998"/>
    <n v="1056.16408"/>
    <n v="0.3022444044307549"/>
  </r>
  <r>
    <s v="ORD-2023-256951"/>
    <x v="262"/>
    <d v="2023-10-06T00:00:00"/>
    <n v="1"/>
    <s v="QUARTER 4"/>
    <s v="Asia"/>
    <x v="7"/>
    <s v="Bengaluru"/>
    <s v="Non-Profit"/>
    <s v="Distributor"/>
    <s v="I. Johnson"/>
    <x v="0"/>
    <x v="343"/>
    <n v="1470.26"/>
    <n v="2562.5500000000002"/>
    <n v="0.17299999999999999"/>
    <n v="9"/>
    <n v="19073.059649999999"/>
    <n v="13232.34"/>
    <n v="5840.7196499999991"/>
    <n v="0.30622877279157462"/>
  </r>
  <r>
    <s v="ORD-2024-771210"/>
    <x v="297"/>
    <d v="2024-10-05T00:00:00"/>
    <n v="21"/>
    <s v="QUARTER 3"/>
    <s v="Asia"/>
    <x v="6"/>
    <s v="Shanghai"/>
    <s v="Small Business"/>
    <s v="Distributor"/>
    <s v="H. Kim"/>
    <x v="6"/>
    <x v="344"/>
    <n v="1405.56"/>
    <n v="2968.87"/>
    <n v="0.16900000000000001"/>
    <n v="5"/>
    <n v="12335.654849999999"/>
    <n v="7027.7999999999993"/>
    <n v="5307.8548499999997"/>
    <n v="0.4302856163327235"/>
  </r>
  <r>
    <s v="ORD-2025-337268"/>
    <x v="298"/>
    <d v="2023-03-20T00:00:00"/>
    <n v="17"/>
    <s v="QUARTER 1"/>
    <s v="Asia"/>
    <x v="8"/>
    <s v="Nagoya"/>
    <s v="Small Business"/>
    <s v="Online"/>
    <s v="D. Smith"/>
    <x v="1"/>
    <x v="345"/>
    <n v="1171.17"/>
    <n v="2030.64"/>
    <n v="0.157"/>
    <n v="11"/>
    <n v="18830.12472"/>
    <n v="12882.87"/>
    <n v="5947.254719999999"/>
    <n v="0.31583724528830415"/>
  </r>
  <r>
    <s v="ORD-2025-828263"/>
    <x v="272"/>
    <d v="2023-10-30T00:00:00"/>
    <n v="30"/>
    <s v="QUARTER 3"/>
    <s v="Asia"/>
    <x v="8"/>
    <s v="Tokyo"/>
    <s v="Enterprise"/>
    <s v="Distributor"/>
    <s v="D. Smith"/>
    <x v="4"/>
    <x v="346"/>
    <n v="649.13"/>
    <n v="975.43"/>
    <n v="0.157"/>
    <n v="27"/>
    <n v="22201.762229999997"/>
    <n v="17526.509999999998"/>
    <n v="4675.2522299999982"/>
    <n v="0.21058023149543473"/>
  </r>
  <r>
    <s v="ORD-2023-715175"/>
    <x v="299"/>
    <d v="2023-11-14T00:00:00"/>
    <n v="15"/>
    <s v="QUARTER 4"/>
    <s v="Asia"/>
    <x v="7"/>
    <s v="Bengaluru"/>
    <s v="Corporate"/>
    <s v="Marketplace"/>
    <s v="F. Müller"/>
    <x v="6"/>
    <x v="347"/>
    <n v="953.46"/>
    <n v="2066.75"/>
    <n v="0.13800000000000001"/>
    <n v="5"/>
    <n v="8907.6924999999992"/>
    <n v="4767.3"/>
    <n v="4140.392499999999"/>
    <n v="0.46481089238318446"/>
  </r>
  <r>
    <s v="ORD-2023-450877"/>
    <x v="300"/>
    <d v="2023-10-10T00:00:00"/>
    <n v="19"/>
    <s v="QUARTER 3"/>
    <s v="Asia"/>
    <x v="8"/>
    <s v="Tokyo"/>
    <s v="Education"/>
    <s v="Direct"/>
    <s v="D. Smith"/>
    <x v="0"/>
    <x v="348"/>
    <n v="845.63"/>
    <n v="2062.12"/>
    <n v="0.13400000000000001"/>
    <n v="5"/>
    <n v="8928.9795999999988"/>
    <n v="4228.1499999999996"/>
    <n v="4700.8295999999991"/>
    <n v="0.52646884757133949"/>
  </r>
  <r>
    <s v="ORD-2023-957692"/>
    <x v="301"/>
    <d v="2024-09-26T00:00:00"/>
    <n v="26"/>
    <s v="QUARTER 3"/>
    <s v="Asia"/>
    <x v="8"/>
    <s v="Tokyo"/>
    <s v="Education"/>
    <s v="Retail"/>
    <s v="I. Johnson"/>
    <x v="2"/>
    <x v="349"/>
    <n v="1189.03"/>
    <n v="2949.62"/>
    <n v="0.125"/>
    <n v="13"/>
    <n v="33551.927499999998"/>
    <n v="15457.39"/>
    <n v="18094.537499999999"/>
    <n v="0.53929949330034765"/>
  </r>
  <r>
    <s v="ORD-2024-136321"/>
    <x v="302"/>
    <d v="2024-08-17T00:00:00"/>
    <n v="10"/>
    <s v="QUARTER 3"/>
    <s v="Asia"/>
    <x v="8"/>
    <s v="Osaka"/>
    <s v="Consumer"/>
    <s v="Online"/>
    <s v="K. Singh"/>
    <x v="1"/>
    <x v="350"/>
    <n v="436.58"/>
    <n v="527.48"/>
    <n v="0.111"/>
    <n v="19"/>
    <n v="8909.6646800000017"/>
    <n v="8295.02"/>
    <n v="614.64468000000124"/>
    <n v="6.8986286473802644E-2"/>
  </r>
  <r>
    <s v="ORD-2025-779574"/>
    <x v="115"/>
    <d v="2025-09-12T00:00:00"/>
    <n v="2"/>
    <s v="QUARTER 3"/>
    <s v="Asia"/>
    <x v="8"/>
    <s v="Tokyo"/>
    <s v="Consumer"/>
    <s v="Online"/>
    <s v="O. Wang"/>
    <x v="0"/>
    <x v="351"/>
    <n v="1470.15"/>
    <n v="2593.7800000000002"/>
    <n v="0.11"/>
    <n v="12"/>
    <n v="27701.570400000001"/>
    <n v="17641.800000000003"/>
    <n v="10059.770399999998"/>
    <n v="0.36314801849645306"/>
  </r>
  <r>
    <s v="ORD-2025-680118"/>
    <x v="303"/>
    <d v="2025-03-25T00:00:00"/>
    <n v="1"/>
    <s v="QUARTER 1"/>
    <s v="Asia"/>
    <x v="6"/>
    <s v="Beijing"/>
    <s v="Non-Profit"/>
    <s v="Online"/>
    <s v="G. Dubois"/>
    <x v="1"/>
    <x v="352"/>
    <n v="1133.03"/>
    <n v="1921.51"/>
    <n v="0.10100000000000001"/>
    <n v="5"/>
    <n v="8637.1874499999994"/>
    <n v="5665.15"/>
    <n v="2972.0374499999998"/>
    <n v="0.3440978289755654"/>
  </r>
  <r>
    <s v="ORD-2025-646342"/>
    <x v="271"/>
    <d v="2025-05-27T00:00:00"/>
    <n v="11"/>
    <s v="QUARTER 2"/>
    <s v="Asia"/>
    <x v="6"/>
    <s v="Beijing"/>
    <s v="Enterprise"/>
    <s v="Direct"/>
    <s v="F. Müller"/>
    <x v="2"/>
    <x v="353"/>
    <n v="918.12"/>
    <n v="1337.69"/>
    <n v="9.5000000000000001E-2"/>
    <n v="8"/>
    <n v="9684.8756000000012"/>
    <n v="7344.96"/>
    <n v="2339.9156000000012"/>
    <n v="0.24160512707050164"/>
  </r>
  <r>
    <s v="ORD-2025-398335"/>
    <x v="304"/>
    <d v="2025-05-04T00:00:00"/>
    <n v="23"/>
    <s v="QUARTER 2"/>
    <s v="Asia"/>
    <x v="8"/>
    <s v="Osaka"/>
    <s v="Small Business"/>
    <s v="Retail"/>
    <s v="M. Rossi"/>
    <x v="0"/>
    <x v="354"/>
    <n v="786.2"/>
    <n v="1075.3"/>
    <n v="0.08"/>
    <n v="9"/>
    <n v="8903.4839999999986"/>
    <n v="7075.8"/>
    <n v="1827.6839999999984"/>
    <n v="0.20527739478163815"/>
  </r>
  <r>
    <s v="ORD-2024-647571"/>
    <x v="37"/>
    <d v="2025-07-23T00:00:00"/>
    <n v="20"/>
    <s v="QUARTER 3"/>
    <s v="Asia"/>
    <x v="6"/>
    <s v="Beijing"/>
    <s v="Small Business"/>
    <s v="Direct"/>
    <s v="M. Rossi"/>
    <x v="0"/>
    <x v="355"/>
    <n v="647.36"/>
    <n v="1383.6"/>
    <n v="7.3999999999999996E-2"/>
    <n v="12"/>
    <n v="15374.563199999999"/>
    <n v="7768.32"/>
    <n v="7606.243199999999"/>
    <n v="0.49472906000997802"/>
  </r>
  <r>
    <s v="ORD-2024-357368"/>
    <x v="305"/>
    <d v="2024-11-24T00:00:00"/>
    <n v="25"/>
    <s v="QUARTER 4"/>
    <s v="Asia"/>
    <x v="6"/>
    <s v="Shenzhen"/>
    <s v="Small Business"/>
    <s v="Distributor"/>
    <s v="E. Garcia"/>
    <x v="0"/>
    <x v="356"/>
    <n v="811.05"/>
    <n v="1217.71"/>
    <n v="7.1999999999999995E-2"/>
    <n v="5"/>
    <n v="5650.1744000000008"/>
    <n v="4055.25"/>
    <n v="1594.9244000000008"/>
    <n v="0.28227879125288602"/>
  </r>
  <r>
    <s v="ORD-2024-805860"/>
    <x v="49"/>
    <d v="2024-02-02T00:00:00"/>
    <n v="22"/>
    <s v="QUARTER 1"/>
    <s v="Asia"/>
    <x v="8"/>
    <s v="Nagoya"/>
    <s v="Small Business"/>
    <s v="Online"/>
    <s v="Unknown"/>
    <x v="4"/>
    <x v="357"/>
    <n v="1237.68"/>
    <n v="1432.8"/>
    <n v="6.8000000000000005E-2"/>
    <n v="13"/>
    <n v="17359.804799999998"/>
    <n v="16089.84"/>
    <n v="1269.9647999999979"/>
    <n v="7.315547695559331E-2"/>
  </r>
  <r>
    <s v="ORD-2024-129345"/>
    <x v="306"/>
    <d v="2024-07-31T00:00:00"/>
    <n v="20"/>
    <s v="QUARTER 3"/>
    <s v="Asia"/>
    <x v="6"/>
    <s v="Shenzhen"/>
    <s v="Consumer"/>
    <s v="Marketplace"/>
    <s v="G. Dubois"/>
    <x v="2"/>
    <x v="358"/>
    <n v="647.26"/>
    <n v="1374.72"/>
    <n v="6.6000000000000003E-2"/>
    <n v="22"/>
    <n v="28247.74656"/>
    <n v="14239.72"/>
    <n v="14008.02656"/>
    <n v="0.49589890401508901"/>
  </r>
  <r>
    <s v="ORD-2024-855600"/>
    <x v="307"/>
    <d v="2024-11-20T00:00:00"/>
    <n v="24"/>
    <s v="QUARTER 4"/>
    <s v="Asia"/>
    <x v="8"/>
    <s v="Nagoya"/>
    <s v="Non-Profit"/>
    <s v="Distributor"/>
    <s v="H. Kim"/>
    <x v="3"/>
    <x v="359"/>
    <n v="317.25"/>
    <n v="758.92"/>
    <n v="5.2999999999999999E-2"/>
    <n v="9"/>
    <n v="6468.2751599999992"/>
    <n v="2855.25"/>
    <n v="3613.0251599999992"/>
    <n v="0.5585762928489888"/>
  </r>
  <r>
    <s v="ORD-2024-433936"/>
    <x v="308"/>
    <d v="2024-06-17T00:00:00"/>
    <n v="21"/>
    <s v="QUARTER 2"/>
    <s v="Asia"/>
    <x v="7"/>
    <s v="Delhi"/>
    <s v="Small Business"/>
    <s v="Retail"/>
    <s v="H. Kim"/>
    <x v="5"/>
    <x v="360"/>
    <n v="465.02"/>
    <n v="651.55999999999995"/>
    <n v="4.2000000000000003E-2"/>
    <n v="19"/>
    <n v="11859.695119999998"/>
    <n v="8835.3799999999992"/>
    <n v="3024.3151199999993"/>
    <n v="0.25500783025187918"/>
  </r>
  <r>
    <s v="ORD-2023-868460"/>
    <x v="309"/>
    <d v="2025-04-14T00:00:00"/>
    <n v="1"/>
    <s v="QUARTER 2"/>
    <s v="Asia"/>
    <x v="8"/>
    <s v="Osaka"/>
    <s v="Enterprise"/>
    <s v="Marketplace"/>
    <s v="G. Dubois"/>
    <x v="0"/>
    <x v="361"/>
    <n v="138.9"/>
    <n v="289.92"/>
    <n v="2.9000000000000001E-2"/>
    <n v="12"/>
    <n v="3378.1478400000001"/>
    <n v="1666.8000000000002"/>
    <n v="1711.3478399999999"/>
    <n v="0.50659353025828491"/>
  </r>
  <r>
    <s v="ORD-2024-836421"/>
    <x v="310"/>
    <d v="2025-01-12T00:00:00"/>
    <n v="29"/>
    <s v="QUARTER 4"/>
    <s v="Asia"/>
    <x v="6"/>
    <s v="Shenzhen"/>
    <s v="Education"/>
    <s v="Direct"/>
    <s v="J. Njeri"/>
    <x v="0"/>
    <x v="362"/>
    <n v="1412.15"/>
    <n v="1631.04"/>
    <n v="8.9999999999999993E-3"/>
    <n v="6"/>
    <n v="9698.1638399999993"/>
    <n v="8472.9000000000015"/>
    <n v="1225.2638399999978"/>
    <n v="0.12633977526203535"/>
  </r>
  <r>
    <s v="ORD-2024-777623"/>
    <x v="311"/>
    <d v="2024-11-09T00:00:00"/>
    <n v="29"/>
    <s v="QUARTER 4"/>
    <s v="Asia"/>
    <x v="6"/>
    <s v="Shanghai"/>
    <s v="Non-Profit"/>
    <s v="Online"/>
    <s v="F. Müller"/>
    <x v="4"/>
    <x v="363"/>
    <n v="391.64"/>
    <n v="504.76"/>
    <n v="4.0000000000000001E-3"/>
    <n v="13"/>
    <n v="6535.6324800000002"/>
    <n v="5091.32"/>
    <n v="1444.3124800000005"/>
    <n v="0.22099046793402319"/>
  </r>
  <r>
    <s v="ORD-2023-659070"/>
    <x v="312"/>
    <d v="2025-01-08T00:00:00"/>
    <n v="11"/>
    <s v="QUARTER 4"/>
    <s v="Asia"/>
    <x v="6"/>
    <s v="Shenzhen"/>
    <s v="Enterprise"/>
    <s v="Marketplace"/>
    <s v="K. Singh"/>
    <x v="6"/>
    <x v="364"/>
    <n v="1201.31"/>
    <n v="2764.65"/>
    <n v="0"/>
    <n v="21"/>
    <n v="58057.65"/>
    <n v="25227.51"/>
    <n v="32830.14"/>
    <n v="0.56547483406579491"/>
  </r>
  <r>
    <s v="ORD-2024-909942"/>
    <x v="313"/>
    <d v="2024-07-07T00:00:00"/>
    <n v="28"/>
    <s v="QUARTER 2"/>
    <s v="Asia"/>
    <x v="6"/>
    <s v="Shenzhen"/>
    <s v="Corporate"/>
    <s v="Distributor"/>
    <s v="J. Njeri"/>
    <x v="0"/>
    <x v="365"/>
    <n v="550.22"/>
    <n v="1025.05"/>
    <n v="0"/>
    <n v="27"/>
    <n v="27676.35"/>
    <n v="14855.94"/>
    <n v="12820.409999999998"/>
    <n v="0.46322618408858102"/>
  </r>
  <r>
    <s v="ORD-2024-251426"/>
    <x v="77"/>
    <d v="2023-10-26T00:00:00"/>
    <n v="17"/>
    <s v="QUARTER 4"/>
    <s v="Asia"/>
    <x v="6"/>
    <s v="Shanghai"/>
    <s v="Consumer"/>
    <s v="Distributor"/>
    <s v="C. Otieno"/>
    <x v="0"/>
    <x v="366"/>
    <n v="1132.03"/>
    <n v="2137.21"/>
    <n v="0.35699999999999998"/>
    <n v="35"/>
    <n v="48097.911050000002"/>
    <n v="39621.049999999996"/>
    <n v="8476.8610500000068"/>
    <n v="0.17624177152284051"/>
  </r>
  <r>
    <s v="ORD-2024-811752"/>
    <x v="314"/>
    <d v="2024-09-12T00:00:00"/>
    <n v="25"/>
    <s v="QUARTER 3"/>
    <s v="Asia"/>
    <x v="7"/>
    <s v="Mumbai"/>
    <s v="Consumer"/>
    <s v="Online"/>
    <s v="C. Otieno"/>
    <x v="2"/>
    <x v="367"/>
    <n v="1154.03"/>
    <n v="1590.36"/>
    <n v="0.314"/>
    <n v="18"/>
    <n v="19637.76528"/>
    <n v="20772.54"/>
    <n v="-1134.7747200000013"/>
    <n v="-5.7785328616576745E-2"/>
  </r>
  <r>
    <s v="ORD-2023-181257"/>
    <x v="315"/>
    <d v="2023-09-03T00:00:00"/>
    <n v="4"/>
    <s v="QUARTER 3"/>
    <s v="Asia"/>
    <x v="7"/>
    <s v="Delhi"/>
    <s v="Small Business"/>
    <s v="Online"/>
    <s v="L. Okafor"/>
    <x v="5"/>
    <x v="368"/>
    <n v="1082.25"/>
    <n v="2433.34"/>
    <n v="0.27"/>
    <n v="4"/>
    <n v="7105.3528000000006"/>
    <n v="4329"/>
    <n v="2776.3528000000006"/>
    <n v="0.3907410199251472"/>
  </r>
  <r>
    <s v="ORD-2024-892908"/>
    <x v="316"/>
    <d v="2024-03-04T00:00:00"/>
    <n v="16"/>
    <s v="QUARTER 1"/>
    <s v="Asia"/>
    <x v="7"/>
    <s v="Delhi"/>
    <s v="Small Business"/>
    <s v="Retail"/>
    <s v="F. Müller"/>
    <x v="2"/>
    <x v="369"/>
    <n v="1231.8"/>
    <n v="2015.99"/>
    <n v="0.26100000000000001"/>
    <n v="6"/>
    <n v="8938.8996600000009"/>
    <n v="7390.7999999999993"/>
    <n v="1548.0996600000017"/>
    <n v="0.17318682599464391"/>
  </r>
  <r>
    <s v="ORD-2024-508213"/>
    <x v="317"/>
    <d v="2025-08-15T00:00:00"/>
    <n v="19"/>
    <s v="QUARTER 3"/>
    <s v="Asia"/>
    <x v="8"/>
    <s v="Tokyo"/>
    <s v="Small Business"/>
    <s v="Online"/>
    <s v="J. Njeri"/>
    <x v="0"/>
    <x v="370"/>
    <n v="275.43"/>
    <n v="608.36"/>
    <n v="0.25700000000000001"/>
    <n v="4"/>
    <n v="1808.04592"/>
    <n v="1101.72"/>
    <n v="706.32592"/>
    <n v="0.39065706915231446"/>
  </r>
  <r>
    <s v="ORD-2024-605629"/>
    <x v="318"/>
    <d v="2024-07-15T00:00:00"/>
    <n v="0"/>
    <s v="QUARTER 3"/>
    <s v="Asia"/>
    <x v="8"/>
    <s v="Tokyo"/>
    <s v="Small Business"/>
    <s v="Online"/>
    <s v="G. Dubois"/>
    <x v="5"/>
    <x v="371"/>
    <n v="801.77"/>
    <n v="1218.92"/>
    <n v="0.254"/>
    <n v="16"/>
    <n v="14549.029120000001"/>
    <n v="12828.32"/>
    <n v="1720.7091200000013"/>
    <n v="0.11826968698788344"/>
  </r>
  <r>
    <s v="ORD-2024-515105"/>
    <x v="319"/>
    <d v="2024-03-06T00:00:00"/>
    <n v="16"/>
    <s v="QUARTER 1"/>
    <s v="Asia"/>
    <x v="6"/>
    <s v="Beijing"/>
    <s v="Education"/>
    <s v="Direct"/>
    <s v="O. Wang"/>
    <x v="4"/>
    <x v="372"/>
    <n v="1477.84"/>
    <n v="3197.47"/>
    <n v="0.24299999999999999"/>
    <n v="24"/>
    <n v="58091.634960000003"/>
    <n v="35468.159999999996"/>
    <n v="22623.474960000007"/>
    <n v="0.38944462443823091"/>
  </r>
  <r>
    <s v="ORD-2024-897622"/>
    <x v="320"/>
    <d v="2023-12-07T00:00:00"/>
    <n v="9"/>
    <s v="QUARTER 4"/>
    <s v="Asia"/>
    <x v="7"/>
    <s v="Delhi"/>
    <s v="Enterprise"/>
    <s v="Marketplace"/>
    <s v="L. Okafor"/>
    <x v="2"/>
    <x v="373"/>
    <n v="699.33"/>
    <n v="873.75"/>
    <n v="0.23499999999999999"/>
    <n v="10"/>
    <n v="6684.1875"/>
    <n v="6993.3"/>
    <n v="-309.11250000000018"/>
    <n v="-4.6245336475076469E-2"/>
  </r>
  <r>
    <s v="ORD-2025-541048"/>
    <x v="150"/>
    <d v="2023-07-21T00:00:00"/>
    <n v="27"/>
    <s v="QUARTER 2"/>
    <s v="Asia"/>
    <x v="8"/>
    <s v="Nagoya"/>
    <s v="Consumer"/>
    <s v="Marketplace"/>
    <s v="J. Njeri"/>
    <x v="2"/>
    <x v="374"/>
    <n v="554.76"/>
    <n v="728.69"/>
    <n v="0.22"/>
    <n v="7"/>
    <n v="3978.6474000000003"/>
    <n v="3883.3199999999997"/>
    <n v="95.32740000000058"/>
    <n v="2.395975074343119E-2"/>
  </r>
  <r>
    <s v="ORD-2025-856556"/>
    <x v="321"/>
    <d v="2024-08-15T00:00:00"/>
    <n v="15"/>
    <s v="QUARTER 3"/>
    <s v="Asia"/>
    <x v="8"/>
    <s v="Tokyo"/>
    <s v="Corporate"/>
    <s v="Online"/>
    <s v="F. Müller"/>
    <x v="3"/>
    <x v="375"/>
    <n v="1252.52"/>
    <n v="1417.24"/>
    <n v="0.192"/>
    <n v="5"/>
    <n v="5725.6496000000006"/>
    <n v="6262.6"/>
    <n v="-536.95039999999972"/>
    <n v="-9.3779821943696953E-2"/>
  </r>
  <r>
    <s v="ORD-2025-866565"/>
    <x v="82"/>
    <d v="2023-06-19T00:00:00"/>
    <n v="30"/>
    <s v="QUARTER 2"/>
    <s v="Asia"/>
    <x v="7"/>
    <s v="Delhi"/>
    <s v="Non-Profit"/>
    <s v="Direct"/>
    <s v="H. Kim"/>
    <x v="6"/>
    <x v="376"/>
    <n v="1161.2"/>
    <n v="878.73"/>
    <n v="0.19"/>
    <n v="31"/>
    <n v="22064.910300000003"/>
    <n v="35997.200000000004"/>
    <n v="-13932.289700000001"/>
    <n v="-0.63142290227212028"/>
  </r>
  <r>
    <s v="ORD-2023-596758"/>
    <x v="322"/>
    <d v="2023-12-05T00:00:00"/>
    <n v="-2"/>
    <s v="QUARTER 4"/>
    <s v="Asia"/>
    <x v="8"/>
    <s v="Tokyo"/>
    <s v="Non-Profit"/>
    <s v="Retail"/>
    <s v="H. Kim"/>
    <x v="4"/>
    <x v="377"/>
    <n v="1097.5899999999999"/>
    <n v="845.55"/>
    <n v="0.184"/>
    <n v="6"/>
    <n v="4139.8127999999997"/>
    <n v="6585.5399999999991"/>
    <n v="-2445.7271999999994"/>
    <n v="-0.59078207594314402"/>
  </r>
  <r>
    <s v="ORD-2025-803803"/>
    <x v="323"/>
    <d v="2024-03-26T00:00:00"/>
    <n v="28"/>
    <s v="QUARTER 1"/>
    <s v="Asia"/>
    <x v="7"/>
    <s v="Mumbai"/>
    <s v="Education"/>
    <s v="Online"/>
    <s v="G. Dubois"/>
    <x v="6"/>
    <x v="378"/>
    <n v="1035.19"/>
    <n v="2322.6999999999998"/>
    <n v="0.17299999999999999"/>
    <n v="8"/>
    <n v="15366.983199999999"/>
    <n v="8281.52"/>
    <n v="7085.4631999999983"/>
    <n v="0.46108355217047409"/>
  </r>
  <r>
    <s v="ORD-2024-336584"/>
    <x v="195"/>
    <d v="2025-01-14T00:00:00"/>
    <n v="18"/>
    <s v="QUARTER 4"/>
    <s v="Asia"/>
    <x v="7"/>
    <s v="Bengaluru"/>
    <s v="Small Business"/>
    <s v="Direct"/>
    <s v="E. Garcia"/>
    <x v="3"/>
    <x v="379"/>
    <n v="586.07000000000005"/>
    <n v="845.97"/>
    <n v="0.14699999999999999"/>
    <n v="4"/>
    <n v="2886.4496399999998"/>
    <n v="2344.2800000000002"/>
    <n v="542.16963999999962"/>
    <n v="0.18783270370862928"/>
  </r>
  <r>
    <s v="ORD-2024-332076"/>
    <x v="236"/>
    <d v="2025-05-27T00:00:00"/>
    <n v="30"/>
    <s v="QUARTER 2"/>
    <s v="Asia"/>
    <x v="7"/>
    <s v="Unknown"/>
    <s v="Enterprise"/>
    <s v="Direct"/>
    <s v="H. Kim"/>
    <x v="2"/>
    <x v="380"/>
    <n v="481.32"/>
    <n v="1135.99"/>
    <n v="0.14499999999999999"/>
    <n v="5"/>
    <n v="4856.35725"/>
    <n v="2406.6"/>
    <n v="2449.7572500000001"/>
    <n v="0.50444337677175621"/>
  </r>
  <r>
    <s v="ORD-2023-867836"/>
    <x v="39"/>
    <d v="2023-05-28T00:00:00"/>
    <n v="17"/>
    <s v="QUARTER 2"/>
    <s v="Asia"/>
    <x v="6"/>
    <s v="Shenzhen"/>
    <s v="Enterprise"/>
    <s v="Marketplace"/>
    <s v="E. Garcia"/>
    <x v="1"/>
    <x v="381"/>
    <n v="1331.19"/>
    <n v="2903.09"/>
    <n v="0.14299999999999999"/>
    <n v="8"/>
    <n v="19903.585040000002"/>
    <n v="10649.52"/>
    <n v="9254.0650400000013"/>
    <n v="0.46494463290920784"/>
  </r>
  <r>
    <s v="ORD-2023-619570"/>
    <x v="324"/>
    <d v="2023-05-14T00:00:00"/>
    <n v="8"/>
    <s v="QUARTER 2"/>
    <s v="Asia"/>
    <x v="8"/>
    <s v="Osaka"/>
    <s v="Enterprise"/>
    <s v="Direct"/>
    <s v="B. Chen"/>
    <x v="2"/>
    <x v="382"/>
    <n v="291.18"/>
    <n v="479.54"/>
    <n v="0.14099999999999999"/>
    <n v="22"/>
    <n v="9062.34692"/>
    <n v="6405.96"/>
    <n v="2656.3869199999999"/>
    <n v="0.29312350801066001"/>
  </r>
  <r>
    <s v="ORD-2024-851883"/>
    <x v="240"/>
    <d v="2024-01-22T00:00:00"/>
    <n v="9"/>
    <s v="QUARTER 1"/>
    <s v="Asia"/>
    <x v="7"/>
    <s v="Mumbai"/>
    <s v="Enterprise"/>
    <s v="Online"/>
    <s v="J. Njeri"/>
    <x v="0"/>
    <x v="383"/>
    <n v="313.60000000000002"/>
    <n v="334.28"/>
    <n v="0.14000000000000001"/>
    <n v="22"/>
    <n v="6324.5775999999996"/>
    <n v="6899.2000000000007"/>
    <n v="-574.62240000000111"/>
    <n v="-9.0855458868905517E-2"/>
  </r>
  <r>
    <s v="ORD-2023-302041"/>
    <x v="325"/>
    <d v="2023-08-07T00:00:00"/>
    <n v="8"/>
    <s v="QUARTER 3"/>
    <s v="Asia"/>
    <x v="8"/>
    <s v="Nagoya"/>
    <s v="Education"/>
    <s v="Direct"/>
    <s v="A. Patel"/>
    <x v="1"/>
    <x v="384"/>
    <n v="1352.44"/>
    <n v="2698.01"/>
    <n v="0.13100000000000001"/>
    <n v="13"/>
    <n v="30479.418970000002"/>
    <n v="17581.72"/>
    <n v="12897.698970000001"/>
    <n v="0.42316091992090887"/>
  </r>
  <r>
    <s v="ORD-2023-906481"/>
    <x v="286"/>
    <d v="2023-05-18T00:00:00"/>
    <n v="16"/>
    <s v="QUARTER 2"/>
    <s v="Asia"/>
    <x v="7"/>
    <s v="Delhi"/>
    <s v="Small Business"/>
    <s v="Distributor"/>
    <s v="K. Singh"/>
    <x v="3"/>
    <x v="385"/>
    <n v="1463.92"/>
    <n v="2252.2399999999998"/>
    <n v="0.11799999999999999"/>
    <n v="44"/>
    <n v="87404.929919999995"/>
    <n v="64412.480000000003"/>
    <n v="22992.449919999992"/>
    <n v="0.26305667130040061"/>
  </r>
  <r>
    <s v="ORD-2023-613317"/>
    <x v="326"/>
    <d v="2024-01-14T00:00:00"/>
    <n v="25"/>
    <s v="QUARTER 4"/>
    <s v="Asia"/>
    <x v="7"/>
    <s v="Mumbai"/>
    <s v="Non-Profit"/>
    <s v="Direct"/>
    <s v="L. Okafor"/>
    <x v="3"/>
    <x v="386"/>
    <n v="1085.6099999999999"/>
    <n v="1246.4100000000001"/>
    <n v="0.113"/>
    <n v="7"/>
    <n v="7738.9596900000006"/>
    <n v="7599.2699999999995"/>
    <n v="139.68969000000106"/>
    <n v="1.8050189637310417E-2"/>
  </r>
  <r>
    <s v="ORD-2023-735274"/>
    <x v="327"/>
    <d v="2025-07-05T00:00:00"/>
    <n v="18"/>
    <s v="QUARTER 2"/>
    <s v="Asia"/>
    <x v="7"/>
    <s v="Delhi"/>
    <s v="Consumer"/>
    <s v="Online"/>
    <s v="L. Okafor"/>
    <x v="6"/>
    <x v="387"/>
    <n v="982.93"/>
    <n v="2299.3000000000002"/>
    <n v="0.113"/>
    <n v="6"/>
    <n v="12236.874600000001"/>
    <n v="5897.58"/>
    <n v="6339.2946000000011"/>
    <n v="0.51804850562087157"/>
  </r>
  <r>
    <s v="ORD-2023-752962"/>
    <x v="328"/>
    <d v="2025-01-13T00:00:00"/>
    <n v="20"/>
    <s v="QUARTER 4"/>
    <s v="Asia"/>
    <x v="7"/>
    <s v="Bengaluru"/>
    <s v="Corporate"/>
    <s v="Direct"/>
    <s v="D. Smith"/>
    <x v="1"/>
    <x v="388"/>
    <n v="126.15"/>
    <n v="284.23"/>
    <n v="0.113"/>
    <n v="22"/>
    <n v="5546.4642200000008"/>
    <n v="2775.3"/>
    <n v="2771.1642200000006"/>
    <n v="0.49962716968541088"/>
  </r>
  <r>
    <s v="ORD-2024-664046"/>
    <x v="329"/>
    <d v="2025-09-30T00:00:00"/>
    <n v="18"/>
    <s v="QUARTER 3"/>
    <s v="Asia"/>
    <x v="8"/>
    <s v="Nagoya"/>
    <s v="Non-Profit"/>
    <s v="Direct"/>
    <s v="F. Müller"/>
    <x v="3"/>
    <x v="389"/>
    <n v="1212.99"/>
    <n v="1653.64"/>
    <n v="0.107"/>
    <n v="8"/>
    <n v="11813.604160000001"/>
    <n v="9703.92"/>
    <n v="2109.6841600000007"/>
    <n v="0.17858090819931455"/>
  </r>
  <r>
    <s v="ORD-2024-527858"/>
    <x v="330"/>
    <d v="2025-05-26T00:00:00"/>
    <n v="14"/>
    <s v="QUARTER 2"/>
    <s v="Asia"/>
    <x v="7"/>
    <s v="Hyderabad"/>
    <s v="Corporate"/>
    <s v="Retail"/>
    <s v="G. Dubois"/>
    <x v="4"/>
    <x v="390"/>
    <n v="320.12"/>
    <n v="594.41999999999996"/>
    <n v="0.104"/>
    <n v="18"/>
    <n v="9586.8057599999993"/>
    <n v="5762.16"/>
    <n v="3824.6457599999994"/>
    <n v="0.39894891538931104"/>
  </r>
  <r>
    <s v="ORD-2023-864121"/>
    <x v="331"/>
    <d v="2023-04-22T00:00:00"/>
    <n v="26"/>
    <s v="QUARTER 1"/>
    <s v="Asia"/>
    <x v="7"/>
    <s v="Delhi"/>
    <s v="Non-Profit"/>
    <s v="Distributor"/>
    <s v="J. Njeri"/>
    <x v="4"/>
    <x v="391"/>
    <n v="178.53"/>
    <n v="199.37"/>
    <n v="0.10100000000000001"/>
    <n v="37"/>
    <n v="6631.6443100000006"/>
    <n v="6605.61"/>
    <n v="26.034310000000914"/>
    <n v="3.9257699573457538E-3"/>
  </r>
  <r>
    <s v="ORD-2023-281890"/>
    <x v="332"/>
    <d v="2025-07-11T00:00:00"/>
    <n v="14"/>
    <s v="QUARTER 2"/>
    <s v="Asia"/>
    <x v="6"/>
    <s v="Shanghai"/>
    <s v="Small Business"/>
    <s v="Distributor"/>
    <s v="L. Okafor"/>
    <x v="1"/>
    <x v="392"/>
    <n v="1227.7"/>
    <n v="2197.23"/>
    <n v="9.9000000000000005E-2"/>
    <n v="22"/>
    <n v="43553.493060000001"/>
    <n v="27009.4"/>
    <n v="16544.093059999999"/>
    <n v="0.37985685871873898"/>
  </r>
  <r>
    <s v="ORD-2025-541501"/>
    <x v="333"/>
    <d v="2025-08-18T00:00:00"/>
    <n v="27"/>
    <s v="QUARTER 3"/>
    <s v="Asia"/>
    <x v="6"/>
    <s v="Shenzhen"/>
    <s v="Non-Profit"/>
    <s v="Marketplace"/>
    <s v="M. Rossi"/>
    <x v="1"/>
    <x v="393"/>
    <n v="547.32000000000005"/>
    <n v="419.17"/>
    <n v="9.1999999999999998E-2"/>
    <n v="14"/>
    <n v="5328.4890400000004"/>
    <n v="7662.4800000000005"/>
    <n v="-2333.9909600000001"/>
    <n v="-0.43802116181137907"/>
  </r>
  <r>
    <s v="ORD-2024-516704"/>
    <x v="334"/>
    <d v="2025-08-19T00:00:00"/>
    <n v="27"/>
    <s v="QUARTER 3"/>
    <s v="Asia"/>
    <x v="8"/>
    <s v="Nagoya"/>
    <s v="Consumer"/>
    <s v="Retail"/>
    <s v="B. Chen"/>
    <x v="5"/>
    <x v="394"/>
    <n v="896.09"/>
    <n v="744.27"/>
    <n v="8.3000000000000004E-2"/>
    <n v="11"/>
    <n v="7507.4514899999995"/>
    <n v="9856.99"/>
    <n v="-2349.5385100000003"/>
    <n v="-0.31296086469950679"/>
  </r>
  <r>
    <s v="ORD-2024-207792"/>
    <x v="182"/>
    <d v="2024-01-15T00:00:00"/>
    <n v="13"/>
    <s v="QUARTER 1"/>
    <s v="Asia"/>
    <x v="8"/>
    <s v="Nagoya"/>
    <s v="Small Business"/>
    <s v="Direct"/>
    <s v="G. Dubois"/>
    <x v="1"/>
    <x v="395"/>
    <n v="1219.06"/>
    <n v="2738.69"/>
    <n v="7.5999999999999998E-2"/>
    <n v="16"/>
    <n v="40488.792960000006"/>
    <n v="19504.96"/>
    <n v="20983.832960000007"/>
    <n v="0.51826274447673737"/>
  </r>
  <r>
    <s v="ORD-2023-573146"/>
    <x v="189"/>
    <d v="2024-07-12T00:00:00"/>
    <n v="-1"/>
    <s v="QUARTER 3"/>
    <s v="Asia"/>
    <x v="8"/>
    <s v="Nagoya"/>
    <s v="Small Business"/>
    <s v="Distributor"/>
    <s v="F. Müller"/>
    <x v="1"/>
    <x v="396"/>
    <n v="105.13"/>
    <n v="244.13"/>
    <n v="7.0999999999999994E-2"/>
    <n v="14"/>
    <n v="3175.1547799999998"/>
    <n v="1471.82"/>
    <n v="1703.3347799999999"/>
    <n v="0.53645724319618837"/>
  </r>
  <r>
    <s v="ORD-2023-258768"/>
    <x v="335"/>
    <d v="2023-07-02T00:00:00"/>
    <n v="3"/>
    <s v="QUARTER 2"/>
    <s v="Asia"/>
    <x v="8"/>
    <s v="Nagoya"/>
    <s v="Education"/>
    <s v="Direct"/>
    <s v="F. Müller"/>
    <x v="3"/>
    <x v="397"/>
    <n v="55.65"/>
    <n v="83.57"/>
    <n v="6.6000000000000003E-2"/>
    <n v="8"/>
    <n v="624.43503999999996"/>
    <n v="445.2"/>
    <n v="179.23503999999997"/>
    <n v="0.2870355257449998"/>
  </r>
  <r>
    <s v="ORD-2024-355095"/>
    <x v="303"/>
    <d v="2025-04-04T00:00:00"/>
    <n v="11"/>
    <s v="QUARTER 1"/>
    <s v="Asia"/>
    <x v="7"/>
    <s v="Mumbai"/>
    <s v="Education"/>
    <s v="Marketplace"/>
    <s v="J. Njeri"/>
    <x v="2"/>
    <x v="398"/>
    <n v="23.83"/>
    <n v="47.29"/>
    <n v="6.4000000000000001E-2"/>
    <n v="19"/>
    <n v="841.00536"/>
    <n v="452.77"/>
    <n v="388.23536000000001"/>
    <n v="0.46163244429262618"/>
  </r>
  <r>
    <s v="ORD-2025-926547"/>
    <x v="192"/>
    <d v="2024-02-08T00:00:00"/>
    <n v="14"/>
    <s v="QUARTER 1"/>
    <s v="Asia"/>
    <x v="8"/>
    <s v="Osaka"/>
    <s v="Consumer"/>
    <s v="Online"/>
    <s v="I. Johnson"/>
    <x v="1"/>
    <x v="399"/>
    <n v="937.16"/>
    <n v="1069.77"/>
    <n v="3.7999999999999999E-2"/>
    <n v="9"/>
    <n v="9262.0686600000008"/>
    <n v="8434.44"/>
    <n v="827.62866000000031"/>
    <n v="8.9356783066645962E-2"/>
  </r>
  <r>
    <s v="ORD-2024-260775"/>
    <x v="336"/>
    <d v="2024-11-06T00:00:00"/>
    <n v="20"/>
    <s v="QUARTER 4"/>
    <s v="Asia"/>
    <x v="7"/>
    <s v="Bengaluru"/>
    <s v="Enterprise"/>
    <s v="Distributor"/>
    <s v="O. Wang"/>
    <x v="3"/>
    <x v="400"/>
    <n v="72.94"/>
    <n v="106.3"/>
    <n v="0.29499999999999998"/>
    <n v="8"/>
    <n v="599.53200000000004"/>
    <n v="583.52"/>
    <n v="16.012000000000057"/>
    <n v="2.6707498515508857E-2"/>
  </r>
  <r>
    <s v="ORD-2024-232632"/>
    <x v="337"/>
    <d v="2024-02-14T00:00:00"/>
    <n v="0"/>
    <s v="QUARTER 1"/>
    <s v="Asia"/>
    <x v="6"/>
    <s v="Beijing"/>
    <s v="Corporate"/>
    <s v="Marketplace"/>
    <s v="L. Okafor"/>
    <x v="5"/>
    <x v="401"/>
    <n v="65.930000000000007"/>
    <n v="84.9"/>
    <n v="0.25900000000000001"/>
    <n v="23"/>
    <n v="1446.9507000000001"/>
    <n v="1516.39"/>
    <n v="-69.439300000000003"/>
    <n v="-4.7990093926489688E-2"/>
  </r>
  <r>
    <s v="ORD-2024-247979"/>
    <x v="254"/>
    <d v="2024-11-18T00:00:00"/>
    <n v="16"/>
    <s v="QUARTER 4"/>
    <s v="Asia"/>
    <x v="7"/>
    <s v="Mumbai"/>
    <s v="Small Business"/>
    <s v="Retail"/>
    <s v="O. Wang"/>
    <x v="3"/>
    <x v="402"/>
    <n v="1233.58"/>
    <n v="1912.51"/>
    <n v="0.255"/>
    <n v="51"/>
    <n v="72665.817450000002"/>
    <n v="62912.579999999994"/>
    <n v="9753.2374500000078"/>
    <n v="0.134220432553601"/>
  </r>
  <r>
    <s v="ORD-2025-515515"/>
    <x v="338"/>
    <d v="2025-01-23T00:00:00"/>
    <n v="20"/>
    <s v="QUARTER 1"/>
    <s v="Asia"/>
    <x v="8"/>
    <s v="Osaka"/>
    <s v="Corporate"/>
    <s v="Online"/>
    <s v="F. Müller"/>
    <x v="2"/>
    <x v="403"/>
    <n v="908.6"/>
    <n v="691.37"/>
    <n v="0.25"/>
    <n v="20"/>
    <n v="10370.549999999999"/>
    <n v="18172"/>
    <n v="-7801.4500000000007"/>
    <n v="-0.75226964818645115"/>
  </r>
  <r>
    <s v="ORD-2024-749242"/>
    <x v="339"/>
    <d v="2025-04-08T00:00:00"/>
    <n v="25"/>
    <s v="QUARTER 1"/>
    <s v="Asia"/>
    <x v="6"/>
    <s v="Unknown"/>
    <s v="Corporate"/>
    <s v="Retail"/>
    <s v="D. Smith"/>
    <x v="4"/>
    <x v="404"/>
    <n v="80.59"/>
    <n v="157.82"/>
    <n v="0.217"/>
    <n v="6"/>
    <n v="741.43835999999999"/>
    <n v="483.54"/>
    <n v="257.89835999999997"/>
    <n v="0.34783519967863541"/>
  </r>
  <r>
    <s v="ORD-2023-378104"/>
    <x v="340"/>
    <d v="2024-09-18T00:00:00"/>
    <n v="11"/>
    <s v="QUARTER 3"/>
    <s v="Asia"/>
    <x v="6"/>
    <s v="Beijing"/>
    <s v="Consumer"/>
    <s v="Marketplace"/>
    <s v="O. Wang"/>
    <x v="1"/>
    <x v="405"/>
    <n v="181.74"/>
    <n v="190.84"/>
    <n v="0.214"/>
    <n v="13"/>
    <n v="1950.0031200000001"/>
    <n v="2362.62"/>
    <n v="-412.61687999999981"/>
    <n v="-0.21159806144310159"/>
  </r>
  <r>
    <s v="ORD-2024-961501"/>
    <x v="277"/>
    <d v="2023-05-14T00:00:00"/>
    <n v="4"/>
    <s v="QUARTER 2"/>
    <s v="Asia"/>
    <x v="7"/>
    <s v="Delhi"/>
    <s v="Non-Profit"/>
    <s v="Marketplace"/>
    <s v="C. Otieno"/>
    <x v="3"/>
    <x v="406"/>
    <n v="622.6"/>
    <n v="833.69"/>
    <n v="0.20899999999999999"/>
    <n v="14"/>
    <n v="9232.2830599999998"/>
    <n v="8716.4"/>
    <n v="515.88306000000011"/>
    <n v="5.5878167582959715E-2"/>
  </r>
  <r>
    <s v="ORD-2023-674887"/>
    <x v="341"/>
    <d v="2025-03-15T00:00:00"/>
    <n v="7"/>
    <s v="QUARTER 1"/>
    <s v="Asia"/>
    <x v="7"/>
    <s v="Bengaluru"/>
    <s v="Corporate"/>
    <s v="Direct"/>
    <s v="K. Singh"/>
    <x v="6"/>
    <x v="407"/>
    <n v="475.66"/>
    <n v="529.14"/>
    <n v="0.19600000000000001"/>
    <n v="11"/>
    <n v="4679.7141600000004"/>
    <n v="5232.26"/>
    <n v="-552.54583999999977"/>
    <n v="-0.11807256193613323"/>
  </r>
  <r>
    <s v="ORD-2025-898843"/>
    <x v="342"/>
    <d v="2025-03-04T00:00:00"/>
    <n v="30"/>
    <s v="QUARTER 1"/>
    <s v="Asia"/>
    <x v="8"/>
    <s v="Osaka"/>
    <s v="Education"/>
    <s v="Retail"/>
    <s v="L. Okafor"/>
    <x v="5"/>
    <x v="408"/>
    <n v="766.59"/>
    <n v="1912.8"/>
    <n v="0.19600000000000001"/>
    <n v="5"/>
    <n v="7689.4560000000001"/>
    <n v="3832.9500000000003"/>
    <n v="3856.5059999999999"/>
    <n v="0.50153170783472845"/>
  </r>
  <r>
    <s v="ORD-2023-946143"/>
    <x v="343"/>
    <d v="2024-09-25T00:00:00"/>
    <n v="20"/>
    <s v="QUARTER 3"/>
    <s v="Asia"/>
    <x v="8"/>
    <s v="Osaka"/>
    <s v="Enterprise"/>
    <s v="Online"/>
    <s v="D. Smith"/>
    <x v="3"/>
    <x v="409"/>
    <n v="195.54"/>
    <n v="405.97"/>
    <n v="0.187"/>
    <n v="16"/>
    <n v="5280.8577599999999"/>
    <n v="3128.64"/>
    <n v="2152.21776"/>
    <n v="0.40755079152141377"/>
  </r>
  <r>
    <s v="ORD-2025-233883"/>
    <x v="158"/>
    <d v="2025-09-16T00:00:00"/>
    <n v="8"/>
    <s v="QUARTER 3"/>
    <s v="Asia"/>
    <x v="8"/>
    <s v="Osaka"/>
    <s v="Corporate"/>
    <s v="Marketplace"/>
    <s v="C. Otieno"/>
    <x v="2"/>
    <x v="410"/>
    <n v="1225.57"/>
    <n v="2705.57"/>
    <n v="0.183"/>
    <n v="16"/>
    <n v="35367.211040000002"/>
    <n v="19609.12"/>
    <n v="15758.091040000003"/>
    <n v="0.44555650775453404"/>
  </r>
  <r>
    <s v="ORD-2023-521818"/>
    <x v="344"/>
    <d v="2025-03-10T00:00:00"/>
    <n v="10"/>
    <s v="QUARTER 1"/>
    <s v="Asia"/>
    <x v="8"/>
    <s v="Osaka"/>
    <s v="Education"/>
    <s v="Online"/>
    <s v="N. Brown"/>
    <x v="6"/>
    <x v="411"/>
    <n v="51.86"/>
    <n v="45.98"/>
    <n v="0.17299999999999999"/>
    <n v="7"/>
    <n v="266.17821999999995"/>
    <n v="363.02"/>
    <n v="-96.841780000000028"/>
    <n v="-0.3638230806412337"/>
  </r>
  <r>
    <s v="ORD-2023-780206"/>
    <x v="345"/>
    <d v="2023-07-21T00:00:00"/>
    <n v="-1"/>
    <s v="QUARTER 3"/>
    <s v="Asia"/>
    <x v="7"/>
    <s v="Delhi"/>
    <s v="Small Business"/>
    <s v="Direct"/>
    <s v="E. Garcia"/>
    <x v="4"/>
    <x v="412"/>
    <n v="946.99"/>
    <n v="2132.19"/>
    <n v="0.16500000000000001"/>
    <n v="7"/>
    <n v="12462.65055"/>
    <n v="6628.93"/>
    <n v="5833.72055"/>
    <n v="0.46809629513362228"/>
  </r>
  <r>
    <s v="ORD-2023-848013"/>
    <x v="346"/>
    <d v="2023-03-04T00:00:00"/>
    <n v="12"/>
    <s v="QUARTER 1"/>
    <s v="Asia"/>
    <x v="7"/>
    <s v="Delhi"/>
    <s v="Consumer"/>
    <s v="Online"/>
    <s v="M. Rossi"/>
    <x v="3"/>
    <x v="413"/>
    <n v="299.75"/>
    <n v="523.01"/>
    <n v="0.157"/>
    <n v="50"/>
    <n v="22044.871499999997"/>
    <n v="14987.5"/>
    <n v="7057.3714999999975"/>
    <n v="0.32013665854210122"/>
  </r>
  <r>
    <s v="ORD-2023-884192"/>
    <x v="347"/>
    <d v="2025-02-04T00:00:00"/>
    <n v="13"/>
    <s v="QUARTER 1"/>
    <s v="Asia"/>
    <x v="8"/>
    <s v="Tokyo"/>
    <s v="Small Business"/>
    <s v="Online"/>
    <s v="L. Okafor"/>
    <x v="4"/>
    <x v="414"/>
    <n v="122.29"/>
    <n v="224.95"/>
    <n v="0.153"/>
    <n v="28"/>
    <n v="5334.9141999999993"/>
    <n v="3424.1200000000003"/>
    <n v="1910.7941999999989"/>
    <n v="0.3581677471026618"/>
  </r>
  <r>
    <s v="ORD-2023-921939"/>
    <x v="242"/>
    <d v="2023-08-30T00:00:00"/>
    <n v="27"/>
    <s v="QUARTER 3"/>
    <s v="Asia"/>
    <x v="6"/>
    <s v="Shanghai"/>
    <s v="Consumer"/>
    <s v="Marketplace"/>
    <s v="N. Brown"/>
    <x v="3"/>
    <x v="415"/>
    <n v="226.04"/>
    <n v="545.72"/>
    <n v="0.151"/>
    <n v="11"/>
    <n v="5096.4790800000001"/>
    <n v="2486.44"/>
    <n v="2610.03908"/>
    <n v="0.51212592831834014"/>
  </r>
  <r>
    <s v="ORD-2024-446030"/>
    <x v="15"/>
    <d v="2023-06-03T00:00:00"/>
    <n v="17"/>
    <s v="QUARTER 2"/>
    <s v="Asia"/>
    <x v="6"/>
    <s v="Beijing"/>
    <s v="Non-Profit"/>
    <s v="Marketplace"/>
    <s v="M. Rossi"/>
    <x v="4"/>
    <x v="416"/>
    <n v="979.59"/>
    <n v="2210.94"/>
    <n v="0.15"/>
    <n v="11"/>
    <n v="20672.289000000001"/>
    <n v="10775.49"/>
    <n v="9896.7990000000009"/>
    <n v="0.47874712858358359"/>
  </r>
  <r>
    <s v="ORD-2025-757957"/>
    <x v="153"/>
    <d v="2023-06-10T00:00:00"/>
    <n v="18"/>
    <s v="QUARTER 2"/>
    <s v="Asia"/>
    <x v="6"/>
    <s v="Shanghai"/>
    <s v="Corporate"/>
    <s v="Marketplace"/>
    <s v="E. Garcia"/>
    <x v="0"/>
    <x v="417"/>
    <n v="54.62"/>
    <n v="48.94"/>
    <n v="0.14799999999999999"/>
    <n v="16"/>
    <n v="667.15008"/>
    <n v="873.92"/>
    <n v="-206.76991999999996"/>
    <n v="-0.3099301434543783"/>
  </r>
  <r>
    <s v="ORD-2025-526752"/>
    <x v="348"/>
    <d v="2025-06-25T00:00:00"/>
    <n v="16"/>
    <s v="QUARTER 2"/>
    <s v="Asia"/>
    <x v="7"/>
    <s v="Hyderabad"/>
    <s v="Enterprise"/>
    <s v="Retail"/>
    <s v="M. Rossi"/>
    <x v="2"/>
    <x v="418"/>
    <n v="527.33000000000004"/>
    <n v="911.72"/>
    <n v="0.14399999999999999"/>
    <n v="25"/>
    <n v="19510.808000000001"/>
    <n v="13183.250000000002"/>
    <n v="6327.5579999999991"/>
    <n v="0.32431040272652978"/>
  </r>
  <r>
    <s v="ORD-2023-240507"/>
    <x v="349"/>
    <d v="2023-03-26T00:00:00"/>
    <n v="1"/>
    <s v="QUARTER 1"/>
    <s v="Asia"/>
    <x v="8"/>
    <s v="Osaka"/>
    <s v="Small Business"/>
    <s v="Marketplace"/>
    <s v="I. Johnson"/>
    <x v="3"/>
    <x v="419"/>
    <n v="135.12"/>
    <n v="301.7"/>
    <n v="0.14000000000000001"/>
    <n v="47"/>
    <n v="12194.714"/>
    <n v="6350.64"/>
    <n v="5844.0739999999996"/>
    <n v="0.47923009920527859"/>
  </r>
  <r>
    <s v="ORD-2024-277241"/>
    <x v="340"/>
    <d v="2024-09-07T00:00:00"/>
    <n v="0"/>
    <s v="QUARTER 3"/>
    <s v="Asia"/>
    <x v="7"/>
    <s v="Mumbai"/>
    <s v="Education"/>
    <s v="Retail"/>
    <s v="B. Chen"/>
    <x v="1"/>
    <x v="420"/>
    <n v="1066.6500000000001"/>
    <n v="2569.77"/>
    <n v="0.13400000000000001"/>
    <n v="9"/>
    <n v="20028.787380000002"/>
    <n v="9599.85"/>
    <n v="10428.937380000001"/>
    <n v="0.52069739331368348"/>
  </r>
  <r>
    <s v="ORD-2024-366010"/>
    <x v="95"/>
    <d v="2025-05-28T00:00:00"/>
    <n v="11"/>
    <s v="QUARTER 2"/>
    <s v="Asia"/>
    <x v="7"/>
    <s v="Bengaluru"/>
    <s v="Corporate"/>
    <s v="Distributor"/>
    <s v="B. Chen"/>
    <x v="6"/>
    <x v="421"/>
    <n v="623.4"/>
    <n v="1100.0899999999999"/>
    <n v="0.114"/>
    <n v="12"/>
    <n v="11696.156879999999"/>
    <n v="7480.7999999999993"/>
    <n v="4215.3568799999994"/>
    <n v="0.36040529579490388"/>
  </r>
  <r>
    <s v="ORD-2023-704111"/>
    <x v="350"/>
    <d v="2023-07-19T00:00:00"/>
    <n v="10"/>
    <s v="QUARTER 3"/>
    <s v="Asia"/>
    <x v="8"/>
    <s v="Tokyo"/>
    <s v="Enterprise"/>
    <s v="Online"/>
    <s v="N. Brown"/>
    <x v="0"/>
    <x v="422"/>
    <n v="141.26"/>
    <n v="206.88"/>
    <n v="0.107"/>
    <n v="9"/>
    <n v="1662.6945600000001"/>
    <n v="1271.3399999999999"/>
    <n v="391.35456000000022"/>
    <n v="0.23537369365062469"/>
  </r>
  <r>
    <s v="ORD-2024-347736"/>
    <x v="351"/>
    <d v="2024-06-06T00:00:00"/>
    <n v="15"/>
    <s v="QUARTER 2"/>
    <s v="Asia"/>
    <x v="8"/>
    <s v="Nagoya"/>
    <s v="Corporate"/>
    <s v="Marketplace"/>
    <s v="C. Otieno"/>
    <x v="3"/>
    <x v="423"/>
    <n v="673.88"/>
    <n v="1228.01"/>
    <n v="0.105"/>
    <n v="13"/>
    <n v="14287.896349999999"/>
    <n v="8760.44"/>
    <n v="5527.4563499999986"/>
    <n v="0.38686285332689996"/>
  </r>
  <r>
    <s v="ORD-2025-281062"/>
    <x v="63"/>
    <d v="2024-06-21T00:00:00"/>
    <n v="5"/>
    <s v="QUARTER 2"/>
    <s v="Asia"/>
    <x v="8"/>
    <s v="Tokyo"/>
    <s v="Small Business"/>
    <s v="Marketplace"/>
    <s v="F. Müller"/>
    <x v="2"/>
    <x v="424"/>
    <n v="1367.13"/>
    <n v="3062.01"/>
    <n v="0.10299999999999999"/>
    <n v="25"/>
    <n v="68665.574250000005"/>
    <n v="34178.25"/>
    <n v="34487.324250000005"/>
    <n v="0.50225057645971705"/>
  </r>
  <r>
    <s v="ORD-2025-417336"/>
    <x v="123"/>
    <d v="2024-09-07T00:00:00"/>
    <n v="4"/>
    <s v="QUARTER 3"/>
    <s v="Asia"/>
    <x v="8"/>
    <s v="Tokyo"/>
    <s v="Small Business"/>
    <s v="Distributor"/>
    <s v="N. Brown"/>
    <x v="4"/>
    <x v="425"/>
    <n v="43.23"/>
    <n v="94.78"/>
    <n v="9.0999999999999998E-2"/>
    <n v="55"/>
    <n v="4738.5261"/>
    <n v="2377.6499999999996"/>
    <n v="2360.8761000000004"/>
    <n v="0.49823005090127082"/>
  </r>
  <r>
    <s v="ORD-2024-170313"/>
    <x v="195"/>
    <d v="2025-01-15T00:00:00"/>
    <n v="19"/>
    <s v="QUARTER 4"/>
    <s v="Asia"/>
    <x v="7"/>
    <s v="Delhi"/>
    <s v="Non-Profit"/>
    <s v="Marketplace"/>
    <s v="G. Dubois"/>
    <x v="0"/>
    <x v="426"/>
    <n v="495.59"/>
    <n v="631.78"/>
    <n v="8.6999999999999994E-2"/>
    <n v="17"/>
    <n v="9805.8573800000013"/>
    <n v="8425.0299999999988"/>
    <n v="1380.8273800000024"/>
    <n v="0.14081658813601899"/>
  </r>
  <r>
    <s v="ORD-2023-502205"/>
    <x v="352"/>
    <d v="2025-03-27T00:00:00"/>
    <n v="16"/>
    <s v="QUARTER 1"/>
    <s v="Asia"/>
    <x v="8"/>
    <s v="Tokyo"/>
    <s v="Enterprise"/>
    <s v="Direct"/>
    <s v="B. Chen"/>
    <x v="4"/>
    <x v="427"/>
    <n v="1317.58"/>
    <n v="1897.74"/>
    <n v="8.1000000000000003E-2"/>
    <n v="6"/>
    <n v="10464.138360000001"/>
    <n v="7905.48"/>
    <n v="2558.6583600000013"/>
    <n v="0.24451687009230266"/>
  </r>
  <r>
    <s v="ORD-2023-177794"/>
    <x v="353"/>
    <d v="2023-11-13T00:00:00"/>
    <n v="29"/>
    <s v="QUARTER 4"/>
    <s v="Asia"/>
    <x v="6"/>
    <s v="Shenzhen"/>
    <s v="Non-Profit"/>
    <s v="Direct"/>
    <s v="J. Njeri"/>
    <x v="4"/>
    <x v="428"/>
    <n v="986.44"/>
    <n v="790.61"/>
    <n v="7.1999999999999995E-2"/>
    <n v="6"/>
    <n v="4402.1164799999997"/>
    <n v="5918.64"/>
    <n v="-1516.5235200000006"/>
    <n v="-0.34449872621271499"/>
  </r>
  <r>
    <s v="ORD-2025-795385"/>
    <x v="354"/>
    <d v="2024-01-14T00:00:00"/>
    <n v="27"/>
    <s v="QUARTER 4"/>
    <s v="Asia"/>
    <x v="7"/>
    <s v="Mumbai"/>
    <s v="Consumer"/>
    <s v="Retail"/>
    <s v="D. Smith"/>
    <x v="1"/>
    <x v="429"/>
    <n v="1408.3"/>
    <n v="2193.13"/>
    <n v="7.0999999999999994E-2"/>
    <n v="7"/>
    <n v="14261.92439"/>
    <n v="9858.1"/>
    <n v="4403.8243899999998"/>
    <n v="0.30878191957656281"/>
  </r>
  <r>
    <s v="ORD-2025-331237"/>
    <x v="171"/>
    <d v="2023-03-18T00:00:00"/>
    <n v="23"/>
    <s v="QUARTER 1"/>
    <s v="Asia"/>
    <x v="6"/>
    <s v="Beijing"/>
    <s v="Education"/>
    <s v="Online"/>
    <s v="K. Singh"/>
    <x v="4"/>
    <x v="430"/>
    <n v="770.11"/>
    <n v="1667.82"/>
    <n v="6.9000000000000006E-2"/>
    <n v="7"/>
    <n v="10869.182940000001"/>
    <n v="5390.77"/>
    <n v="5478.4129400000002"/>
    <n v="0.50403171703355287"/>
  </r>
  <r>
    <s v="ORD-2025-188059"/>
    <x v="355"/>
    <d v="2024-03-19T00:00:00"/>
    <n v="16"/>
    <s v="QUARTER 1"/>
    <s v="Asia"/>
    <x v="6"/>
    <s v="Beijing"/>
    <s v="Consumer"/>
    <s v="Direct"/>
    <s v="G. Dubois"/>
    <x v="2"/>
    <x v="431"/>
    <n v="988.83"/>
    <n v="1206.04"/>
    <n v="6.3E-2"/>
    <n v="34"/>
    <n v="38422.022320000004"/>
    <n v="33620.22"/>
    <n v="4801.8023200000025"/>
    <n v="0.12497526236406606"/>
  </r>
  <r>
    <s v="ORD-2023-867166"/>
    <x v="356"/>
    <d v="2024-10-28T00:00:00"/>
    <n v="4"/>
    <s v="QUARTER 4"/>
    <s v="Asia"/>
    <x v="6"/>
    <s v="Shanghai"/>
    <s v="Small Business"/>
    <s v="Online"/>
    <s v="I. Johnson"/>
    <x v="1"/>
    <x v="432"/>
    <n v="1331.77"/>
    <n v="2606.11"/>
    <n v="0.02"/>
    <n v="6"/>
    <n v="15323.926799999999"/>
    <n v="7990.62"/>
    <n v="7333.3067999999994"/>
    <n v="0.47855271665745619"/>
  </r>
  <r>
    <s v="ORD-2024-819778"/>
    <x v="357"/>
    <d v="2025-04-09T00:00:00"/>
    <n v="19"/>
    <s v="QUARTER 1"/>
    <s v="Asia"/>
    <x v="8"/>
    <s v="Tokyo"/>
    <s v="Small Business"/>
    <s v="Distributor"/>
    <s v="E. Garcia"/>
    <x v="0"/>
    <x v="433"/>
    <n v="1055.45"/>
    <n v="1210.04"/>
    <n v="8.9999999999999993E-3"/>
    <n v="18"/>
    <n v="21584.693520000001"/>
    <n v="18998.100000000002"/>
    <n v="2586.5935199999985"/>
    <n v="0.1198346188053727"/>
  </r>
  <r>
    <s v="ORD-2023-568013"/>
    <x v="358"/>
    <d v="2025-08-28T00:00:00"/>
    <n v="23"/>
    <s v="QUARTER 3"/>
    <s v="Asia"/>
    <x v="7"/>
    <s v="Mumbai"/>
    <s v="Non-Profit"/>
    <s v="Online"/>
    <s v="N. Brown"/>
    <x v="6"/>
    <x v="434"/>
    <n v="638.54"/>
    <n v="987.24"/>
    <n v="0"/>
    <n v="11"/>
    <n v="10859.64"/>
    <n v="7023.94"/>
    <n v="3835.7"/>
    <n v="0.35320692030306716"/>
  </r>
  <r>
    <s v="ORD-2024-892173"/>
    <x v="359"/>
    <d v="2024-12-07T00:00:00"/>
    <n v="12"/>
    <s v="QUARTER 4"/>
    <s v="Asia"/>
    <x v="6"/>
    <s v="Shanghai"/>
    <s v="Corporate"/>
    <s v="Direct"/>
    <s v="A. Patel"/>
    <x v="5"/>
    <x v="435"/>
    <n v="769.9"/>
    <n v="814.36"/>
    <n v="0"/>
    <n v="5"/>
    <n v="4071.8"/>
    <n v="3849.5"/>
    <n v="222.30000000000018"/>
    <n v="5.4595019401738831E-2"/>
  </r>
  <r>
    <s v="ORD-2023-274037"/>
    <x v="339"/>
    <d v="2025-03-29T00:00:00"/>
    <n v="15"/>
    <s v="QUARTER 1"/>
    <s v="Asia"/>
    <x v="8"/>
    <s v="Tokyo"/>
    <s v="Non-Profit"/>
    <s v="Direct"/>
    <s v="H. Kim"/>
    <x v="1"/>
    <x v="436"/>
    <n v="1106.96"/>
    <n v="2726.62"/>
    <n v="0.317"/>
    <n v="7"/>
    <n v="13035.970220000001"/>
    <n v="7748.72"/>
    <n v="5287.2502200000008"/>
    <n v="0.40558931408789306"/>
  </r>
  <r>
    <s v="ORD-2023-431328"/>
    <x v="360"/>
    <d v="2024-03-30T00:00:00"/>
    <n v="30"/>
    <s v="QUARTER 1"/>
    <s v="Asia"/>
    <x v="8"/>
    <s v="Nagoya"/>
    <s v="Small Business"/>
    <s v="Online"/>
    <s v="I. Johnson"/>
    <x v="1"/>
    <x v="437"/>
    <n v="231.11"/>
    <n v="318.17"/>
    <n v="0.20100000000000001"/>
    <n v="60"/>
    <n v="15253.069799999999"/>
    <n v="13866.6"/>
    <n v="1386.4697999999989"/>
    <n v="9.0897754889969692E-2"/>
  </r>
  <r>
    <s v="ORD-2024-585443"/>
    <x v="252"/>
    <d v="2025-04-04T00:00:00"/>
    <n v="25"/>
    <s v="QUARTER 1"/>
    <s v="Asia"/>
    <x v="8"/>
    <s v="Osaka"/>
    <s v="Corporate"/>
    <s v="Online"/>
    <s v="H. Kim"/>
    <x v="4"/>
    <x v="438"/>
    <n v="783.72"/>
    <n v="1355.94"/>
    <n v="0.187"/>
    <n v="4"/>
    <n v="4409.5168800000001"/>
    <n v="3134.88"/>
    <n v="1274.63688"/>
    <n v="0.28906497348525856"/>
  </r>
  <r>
    <s v="ORD-2024-968374"/>
    <x v="30"/>
    <d v="2024-11-14T00:00:00"/>
    <n v="22"/>
    <s v="QUARTER 4"/>
    <s v="Asia"/>
    <x v="8"/>
    <s v="Osaka"/>
    <s v="Non-Profit"/>
    <s v="Distributor"/>
    <s v="B. Chen"/>
    <x v="2"/>
    <x v="439"/>
    <n v="1406.4"/>
    <n v="1564.76"/>
    <n v="0.185"/>
    <n v="17"/>
    <n v="21679.749799999998"/>
    <n v="23908.800000000003"/>
    <n v="-2229.0502000000051"/>
    <n v="-0.10281715520536151"/>
  </r>
  <r>
    <s v="ORD-2025-418232"/>
    <x v="361"/>
    <d v="2025-08-21T00:00:00"/>
    <n v="20"/>
    <s v="QUARTER 3"/>
    <s v="Asia"/>
    <x v="6"/>
    <s v="Shanghai"/>
    <s v="Corporate"/>
    <s v="Direct"/>
    <s v="I. Johnson"/>
    <x v="2"/>
    <x v="440"/>
    <n v="1220.4100000000001"/>
    <n v="2552.2199999999998"/>
    <n v="0.18099999999999999"/>
    <n v="14"/>
    <n v="29263.754519999995"/>
    <n v="17085.740000000002"/>
    <n v="12178.014519999993"/>
    <n v="0.41614668793360271"/>
  </r>
  <r>
    <s v="ORD-2024-381197"/>
    <x v="362"/>
    <d v="2025-05-13T00:00:00"/>
    <n v="6"/>
    <s v="QUARTER 2"/>
    <s v="Asia"/>
    <x v="7"/>
    <s v="Bengaluru"/>
    <s v="Enterprise"/>
    <s v="Direct"/>
    <s v="J. Njeri"/>
    <x v="2"/>
    <x v="441"/>
    <n v="935.98"/>
    <n v="2077.69"/>
    <n v="0.17499999999999999"/>
    <n v="24"/>
    <n v="41138.261999999995"/>
    <n v="22463.52"/>
    <n v="18674.741999999995"/>
    <n v="0.45395067978321491"/>
  </r>
  <r>
    <s v="ORD-2024-745822"/>
    <x v="363"/>
    <d v="2025-03-09T00:00:00"/>
    <n v="18"/>
    <s v="QUARTER 1"/>
    <s v="Asia"/>
    <x v="7"/>
    <s v="Delhi"/>
    <s v="Small Business"/>
    <s v="Online"/>
    <s v="O. Wang"/>
    <x v="3"/>
    <x v="442"/>
    <n v="325.87"/>
    <n v="538.79"/>
    <n v="0.17399999999999999"/>
    <n v="16"/>
    <n v="7120.6486400000003"/>
    <n v="5213.92"/>
    <n v="1906.7286400000003"/>
    <n v="0.26777457172778013"/>
  </r>
  <r>
    <s v="ORD-2024-689872"/>
    <x v="62"/>
    <d v="2024-09-04T00:00:00"/>
    <n v="-2"/>
    <s v="QUARTER 3"/>
    <s v="Asia"/>
    <x v="8"/>
    <s v="Osaka"/>
    <s v="Corporate"/>
    <s v="Retail"/>
    <s v="A. Patel"/>
    <x v="6"/>
    <x v="443"/>
    <n v="1368.17"/>
    <n v="2307.75"/>
    <n v="0.16300000000000001"/>
    <n v="21"/>
    <n v="40563.321749999996"/>
    <n v="28731.57"/>
    <n v="11831.751749999996"/>
    <n v="0.29168596750831921"/>
  </r>
  <r>
    <s v="ORD-2023-561823"/>
    <x v="242"/>
    <d v="2023-08-02T00:00:00"/>
    <n v="-1"/>
    <s v="QUARTER 3"/>
    <s v="Asia"/>
    <x v="6"/>
    <s v="Shanghai"/>
    <s v="Non-Profit"/>
    <s v="Direct"/>
    <s v="J. Njeri"/>
    <x v="1"/>
    <x v="444"/>
    <n v="1021.97"/>
    <n v="2296.25"/>
    <n v="0.161"/>
    <n v="26"/>
    <n v="50090.397499999999"/>
    <n v="26571.22"/>
    <n v="23519.177499999998"/>
    <n v="0.46953465482081669"/>
  </r>
  <r>
    <s v="ORD-2025-276968"/>
    <x v="364"/>
    <d v="2023-10-29T00:00:00"/>
    <n v="17"/>
    <s v="QUARTER 4"/>
    <s v="Asia"/>
    <x v="8"/>
    <s v="Nagoya"/>
    <s v="Non-Profit"/>
    <s v="Distributor"/>
    <s v="H. Kim"/>
    <x v="2"/>
    <x v="445"/>
    <n v="1102.19"/>
    <n v="1711.16"/>
    <n v="0.151"/>
    <n v="10"/>
    <n v="14527.748400000002"/>
    <n v="11021.900000000001"/>
    <n v="3505.8484000000008"/>
    <n v="0.24132083675127525"/>
  </r>
  <r>
    <s v="ORD-2023-842820"/>
    <x v="365"/>
    <d v="2024-03-26T00:00:00"/>
    <n v="3"/>
    <s v="QUARTER 1"/>
    <s v="Asia"/>
    <x v="7"/>
    <s v="Bengaluru"/>
    <s v="Education"/>
    <s v="Marketplace"/>
    <s v="G. Dubois"/>
    <x v="2"/>
    <x v="446"/>
    <n v="382.21"/>
    <n v="571.89"/>
    <n v="0.14799999999999999"/>
    <n v="26"/>
    <n v="12668.50728"/>
    <n v="9937.4599999999991"/>
    <n v="2731.0472800000007"/>
    <n v="0.2155776698578809"/>
  </r>
  <r>
    <s v="ORD-2023-808024"/>
    <x v="285"/>
    <d v="2023-04-19T00:00:00"/>
    <n v="-2"/>
    <s v="QUARTER 2"/>
    <s v="Asia"/>
    <x v="8"/>
    <s v="Nagoya"/>
    <s v="Small Business"/>
    <s v="Marketplace"/>
    <s v="M. Rossi"/>
    <x v="0"/>
    <x v="447"/>
    <n v="607.04"/>
    <n v="1229.3399999999999"/>
    <n v="0.14699999999999999"/>
    <n v="7"/>
    <n v="7340.3891399999993"/>
    <n v="4249.28"/>
    <n v="3091.1091399999996"/>
    <n v="0.42110970972310058"/>
  </r>
  <r>
    <s v="ORD-2025-262491"/>
    <x v="361"/>
    <d v="2025-08-16T00:00:00"/>
    <n v="15"/>
    <s v="QUARTER 3"/>
    <s v="Asia"/>
    <x v="7"/>
    <s v="Unknown"/>
    <s v="Enterprise"/>
    <s v="Retail"/>
    <s v="O. Wang"/>
    <x v="3"/>
    <x v="448"/>
    <n v="24.44"/>
    <n v="28.69"/>
    <n v="0.14599999999999999"/>
    <n v="6"/>
    <n v="147.00756000000001"/>
    <n v="146.64000000000001"/>
    <n v="0.36755999999999744"/>
    <n v="2.5002795774584476E-3"/>
  </r>
  <r>
    <s v="ORD-2023-191563"/>
    <x v="286"/>
    <d v="2023-05-19T00:00:00"/>
    <n v="17"/>
    <s v="QUARTER 2"/>
    <s v="Asia"/>
    <x v="6"/>
    <s v="Shanghai"/>
    <s v="Non-Profit"/>
    <s v="Online"/>
    <s v="J. Njeri"/>
    <x v="3"/>
    <x v="449"/>
    <n v="714.28"/>
    <n v="757.59"/>
    <n v="0.13600000000000001"/>
    <n v="12"/>
    <n v="7854.6931199999999"/>
    <n v="8571.36"/>
    <n v="-716.66688000000067"/>
    <n v="-9.1240595787910383E-2"/>
  </r>
  <r>
    <s v="ORD-2024-866535"/>
    <x v="366"/>
    <d v="2025-08-08T00:00:00"/>
    <n v="6"/>
    <s v="QUARTER 3"/>
    <s v="Asia"/>
    <x v="8"/>
    <s v="Osaka"/>
    <s v="Consumer"/>
    <s v="Distributor"/>
    <s v="N. Brown"/>
    <x v="6"/>
    <x v="450"/>
    <n v="1225.94"/>
    <n v="1793.08"/>
    <n v="0.13600000000000001"/>
    <n v="22"/>
    <n v="34082.864639999993"/>
    <n v="26970.68"/>
    <n v="7112.1846399999922"/>
    <n v="0.20867332353434462"/>
  </r>
  <r>
    <s v="ORD-2025-718992"/>
    <x v="53"/>
    <d v="2025-07-10T00:00:00"/>
    <n v="16"/>
    <s v="QUARTER 2"/>
    <s v="Asia"/>
    <x v="6"/>
    <s v="Shanghai"/>
    <s v="Enterprise"/>
    <s v="Retail"/>
    <s v="N. Brown"/>
    <x v="0"/>
    <x v="451"/>
    <n v="757.19"/>
    <n v="1735.41"/>
    <n v="0.13600000000000001"/>
    <n v="8"/>
    <n v="11995.153920000001"/>
    <n v="6057.52"/>
    <n v="5937.6339200000002"/>
    <n v="0.4950027285685718"/>
  </r>
  <r>
    <s v="ORD-2024-247032"/>
    <x v="367"/>
    <d v="2025-06-05T00:00:00"/>
    <n v="21"/>
    <s v="QUARTER 2"/>
    <s v="Asia"/>
    <x v="8"/>
    <s v="Osaka"/>
    <s v="Enterprise"/>
    <s v="Distributor"/>
    <s v="H. Kim"/>
    <x v="2"/>
    <x v="452"/>
    <n v="1466.5"/>
    <n v="2778.74"/>
    <n v="0.13500000000000001"/>
    <n v="4"/>
    <n v="9614.4403999999995"/>
    <n v="5866"/>
    <n v="3748.4403999999995"/>
    <n v="0.38987608680792279"/>
  </r>
  <r>
    <s v="ORD-2025-564184"/>
    <x v="257"/>
    <d v="2024-10-01T00:00:00"/>
    <n v="22"/>
    <s v="QUARTER 3"/>
    <s v="Asia"/>
    <x v="6"/>
    <s v="Shenzhen"/>
    <s v="Consumer"/>
    <s v="Direct"/>
    <s v="L. Okafor"/>
    <x v="4"/>
    <x v="453"/>
    <n v="1166.18"/>
    <n v="1335.02"/>
    <n v="0.128"/>
    <n v="6"/>
    <n v="6984.8246399999998"/>
    <n v="6997.08"/>
    <n v="-12.25536000000011"/>
    <n v="-1.7545694604582242E-3"/>
  </r>
  <r>
    <s v="ORD-2024-250862"/>
    <x v="368"/>
    <d v="2024-01-12T00:00:00"/>
    <n v="4"/>
    <s v="QUARTER 1"/>
    <s v="Asia"/>
    <x v="7"/>
    <s v="Bengaluru"/>
    <s v="Corporate"/>
    <s v="Distributor"/>
    <s v="E. Garcia"/>
    <x v="4"/>
    <x v="454"/>
    <n v="802.32"/>
    <n v="602.34"/>
    <n v="0.12"/>
    <n v="25"/>
    <n v="13251.48"/>
    <n v="20058"/>
    <n v="-6806.52"/>
    <n v="-0.51364224977134632"/>
  </r>
  <r>
    <s v="ORD-2023-172095"/>
    <x v="348"/>
    <d v="2025-06-24T00:00:00"/>
    <n v="15"/>
    <s v="QUARTER 2"/>
    <s v="Asia"/>
    <x v="8"/>
    <s v="Nagoya"/>
    <s v="Corporate"/>
    <s v="Online"/>
    <s v="B. Chen"/>
    <x v="2"/>
    <x v="455"/>
    <n v="400.39"/>
    <n v="712.75"/>
    <n v="0.115"/>
    <n v="19"/>
    <n v="11984.891250000001"/>
    <n v="7607.41"/>
    <n v="4377.4812500000007"/>
    <n v="0.36524997671547504"/>
  </r>
  <r>
    <s v="ORD-2023-249805"/>
    <x v="273"/>
    <d v="2023-12-12T00:00:00"/>
    <n v="23"/>
    <s v="QUARTER 4"/>
    <s v="Asia"/>
    <x v="7"/>
    <s v="Delhi"/>
    <s v="Small Business"/>
    <s v="Online"/>
    <s v="C. Otieno"/>
    <x v="1"/>
    <x v="456"/>
    <n v="1349.04"/>
    <n v="2636.6"/>
    <n v="0.114"/>
    <n v="14"/>
    <n v="32704.386400000003"/>
    <n v="18886.559999999998"/>
    <n v="13817.826400000005"/>
    <n v="0.42250682312143928"/>
  </r>
  <r>
    <s v="ORD-2023-722117"/>
    <x v="369"/>
    <d v="2023-10-08T00:00:00"/>
    <n v="20"/>
    <s v="QUARTER 3"/>
    <s v="Asia"/>
    <x v="7"/>
    <s v="Delhi"/>
    <s v="Small Business"/>
    <s v="Online"/>
    <s v="B. Chen"/>
    <x v="0"/>
    <x v="457"/>
    <n v="825.64"/>
    <n v="1108.43"/>
    <n v="0.114"/>
    <n v="7"/>
    <n v="6874.4828600000001"/>
    <n v="5779.48"/>
    <n v="1095.0028600000005"/>
    <n v="0.15928512475773349"/>
  </r>
  <r>
    <s v="ORD-2023-913592"/>
    <x v="370"/>
    <d v="2024-11-21T00:00:00"/>
    <n v="9"/>
    <s v="QUARTER 4"/>
    <s v="Asia"/>
    <x v="7"/>
    <s v="Mumbai"/>
    <s v="Corporate"/>
    <s v="Retail"/>
    <s v="H. Kim"/>
    <x v="6"/>
    <x v="458"/>
    <n v="903.41"/>
    <n v="1860.41"/>
    <n v="0.108"/>
    <n v="5"/>
    <n v="8297.4286000000011"/>
    <n v="4517.05"/>
    <n v="3780.3786000000009"/>
    <n v="0.455608451996803"/>
  </r>
  <r>
    <s v="ORD-2023-132101"/>
    <x v="371"/>
    <d v="2025-03-29T00:00:00"/>
    <n v="14"/>
    <s v="QUARTER 1"/>
    <s v="Asia"/>
    <x v="7"/>
    <s v="Mumbai"/>
    <s v="Enterprise"/>
    <s v="Distributor"/>
    <s v="C. Otieno"/>
    <x v="0"/>
    <x v="459"/>
    <n v="935.83"/>
    <n v="2303.46"/>
    <n v="0.105"/>
    <n v="9"/>
    <n v="18554.370299999999"/>
    <n v="8422.4700000000012"/>
    <n v="10131.900299999998"/>
    <n v="0.54606543559174292"/>
  </r>
  <r>
    <s v="ORD-2025-509940"/>
    <x v="372"/>
    <d v="2023-10-08T00:00:00"/>
    <n v="19"/>
    <s v="QUARTER 3"/>
    <s v="Asia"/>
    <x v="7"/>
    <s v="Bengaluru"/>
    <s v="Education"/>
    <s v="Distributor"/>
    <s v="J. Njeri"/>
    <x v="4"/>
    <x v="460"/>
    <n v="385.32"/>
    <n v="606.76"/>
    <n v="8.5999999999999993E-2"/>
    <n v="8"/>
    <n v="4436.6291200000005"/>
    <n v="3082.56"/>
    <n v="1354.0691200000006"/>
    <n v="0.30520223425842735"/>
  </r>
  <r>
    <s v="ORD-2025-473192"/>
    <x v="261"/>
    <d v="2024-01-13T00:00:00"/>
    <n v="20"/>
    <s v="QUARTER 4"/>
    <s v="Asia"/>
    <x v="8"/>
    <s v="Nagoya"/>
    <s v="Education"/>
    <s v="Direct"/>
    <s v="B. Chen"/>
    <x v="6"/>
    <x v="461"/>
    <n v="625.37"/>
    <n v="1319.04"/>
    <n v="7.3999999999999996E-2"/>
    <n v="8"/>
    <n v="9771.4483199999995"/>
    <n v="5002.96"/>
    <n v="4768.4883199999995"/>
    <n v="0.48800220436513547"/>
  </r>
  <r>
    <s v="ORD-2025-626047"/>
    <x v="373"/>
    <d v="2025-05-15T00:00:00"/>
    <n v="17"/>
    <s v="QUARTER 2"/>
    <s v="Asia"/>
    <x v="8"/>
    <s v="Nagoya"/>
    <s v="Education"/>
    <s v="Retail"/>
    <s v="N. Brown"/>
    <x v="1"/>
    <x v="462"/>
    <n v="691.19"/>
    <n v="1284.3"/>
    <n v="7.3999999999999996E-2"/>
    <n v="7"/>
    <n v="8324.8326000000015"/>
    <n v="4838.33"/>
    <n v="3486.5026000000016"/>
    <n v="0.41880753253825198"/>
  </r>
  <r>
    <s v="ORD-2023-987081"/>
    <x v="374"/>
    <d v="2024-06-24T00:00:00"/>
    <n v="18"/>
    <s v="QUARTER 2"/>
    <s v="Asia"/>
    <x v="7"/>
    <s v="Bengaluru"/>
    <s v="Small Business"/>
    <s v="Retail"/>
    <s v="H. Kim"/>
    <x v="1"/>
    <x v="463"/>
    <n v="1253.25"/>
    <n v="3087.13"/>
    <n v="7.1999999999999995E-2"/>
    <n v="11"/>
    <n v="31513.423040000001"/>
    <n v="13785.75"/>
    <n v="17727.673040000001"/>
    <n v="0.562543555408064"/>
  </r>
  <r>
    <s v="ORD-2024-390951"/>
    <x v="375"/>
    <d v="2023-04-04T00:00:00"/>
    <n v="29"/>
    <s v="QUARTER 1"/>
    <s v="Asia"/>
    <x v="6"/>
    <s v="Beijing"/>
    <s v="Small Business"/>
    <s v="Online"/>
    <s v="C. Otieno"/>
    <x v="3"/>
    <x v="464"/>
    <n v="1126.29"/>
    <n v="2050.87"/>
    <n v="6.4000000000000001E-2"/>
    <n v="7"/>
    <n v="13437.300239999999"/>
    <n v="7884.03"/>
    <n v="5553.2702399999989"/>
    <n v="0.41327276616690373"/>
  </r>
  <r>
    <s v="ORD-2024-237478"/>
    <x v="376"/>
    <d v="2024-10-11T00:00:00"/>
    <n v="8"/>
    <s v="QUARTER 4"/>
    <s v="Asia"/>
    <x v="6"/>
    <s v="Beijing"/>
    <s v="Enterprise"/>
    <s v="Retail"/>
    <s v="B. Chen"/>
    <x v="2"/>
    <x v="465"/>
    <n v="1132.6099999999999"/>
    <n v="2206.63"/>
    <n v="6.3E-2"/>
    <n v="20"/>
    <n v="41352.246200000009"/>
    <n v="22652.199999999997"/>
    <n v="18700.046200000012"/>
    <n v="0.45221355351671338"/>
  </r>
  <r>
    <s v="ORD-2024-800947"/>
    <x v="377"/>
    <d v="2024-12-20T00:00:00"/>
    <n v="5"/>
    <s v="QUARTER 4"/>
    <s v="Asia"/>
    <x v="6"/>
    <s v="Shenzhen"/>
    <s v="Small Business"/>
    <s v="Direct"/>
    <s v="J. Njeri"/>
    <x v="1"/>
    <x v="466"/>
    <n v="717.55"/>
    <n v="546.42999999999995"/>
    <n v="4.7E-2"/>
    <n v="18"/>
    <n v="9373.460219999999"/>
    <n v="12915.9"/>
    <n v="-3542.4397800000006"/>
    <n v="-0.37792231437026369"/>
  </r>
  <r>
    <s v="ORD-2023-536542"/>
    <x v="207"/>
    <d v="2024-01-29T00:00:00"/>
    <n v="17"/>
    <s v="QUARTER 1"/>
    <s v="Asia"/>
    <x v="7"/>
    <s v="Hyderabad"/>
    <s v="Small Business"/>
    <s v="Marketplace"/>
    <s v="B. Chen"/>
    <x v="0"/>
    <x v="467"/>
    <n v="310.02"/>
    <n v="619.51"/>
    <n v="4.2000000000000003E-2"/>
    <n v="4"/>
    <n v="2373.9623200000001"/>
    <n v="1240.08"/>
    <n v="1133.8823200000002"/>
    <n v="0.47763282106347843"/>
  </r>
  <r>
    <s v="ORD-2024-604471"/>
    <x v="378"/>
    <d v="2024-01-25T00:00:00"/>
    <n v="4"/>
    <s v="QUARTER 1"/>
    <s v="Asia"/>
    <x v="7"/>
    <s v="Delhi"/>
    <s v="Consumer"/>
    <s v="Retail"/>
    <s v="C. Otieno"/>
    <x v="3"/>
    <x v="468"/>
    <n v="523.70000000000005"/>
    <n v="1109.92"/>
    <n v="0.03"/>
    <n v="11"/>
    <n v="11842.8464"/>
    <n v="5760.7000000000007"/>
    <n v="6082.1463999999996"/>
    <n v="0.51357133197302973"/>
  </r>
  <r>
    <s v="ORD-2024-553449"/>
    <x v="379"/>
    <d v="2024-09-18T00:00:00"/>
    <n v="22"/>
    <s v="QUARTER 3"/>
    <s v="Asia"/>
    <x v="7"/>
    <s v="Delhi"/>
    <s v="Consumer"/>
    <s v="Distributor"/>
    <s v="B. Chen"/>
    <x v="0"/>
    <x v="469"/>
    <n v="896.75"/>
    <n v="1651.14"/>
    <n v="2.5000000000000001E-2"/>
    <n v="15"/>
    <n v="24147.922500000001"/>
    <n v="13451.25"/>
    <n v="10696.672500000001"/>
    <n v="0.44296450346815552"/>
  </r>
  <r>
    <s v="ORD-2024-901115"/>
    <x v="380"/>
    <d v="2023-12-18T00:00:00"/>
    <n v="17"/>
    <s v="QUARTER 4"/>
    <s v="Asia"/>
    <x v="8"/>
    <s v="Nagoya"/>
    <s v="Small Business"/>
    <s v="Retail"/>
    <s v="N. Brown"/>
    <x v="6"/>
    <x v="470"/>
    <n v="1495.79"/>
    <n v="2783.12"/>
    <n v="0.02"/>
    <n v="5"/>
    <n v="13637.287999999999"/>
    <n v="7478.95"/>
    <n v="6158.3379999999988"/>
    <n v="0.45158084217331185"/>
  </r>
  <r>
    <s v="ORD-2025-328504"/>
    <x v="381"/>
    <d v="2025-02-15T00:00:00"/>
    <n v="19"/>
    <s v="QUARTER 1"/>
    <s v="Asia"/>
    <x v="6"/>
    <s v="Shenzhen"/>
    <s v="Non-Profit"/>
    <s v="Distributor"/>
    <s v="L. Okafor"/>
    <x v="2"/>
    <x v="471"/>
    <n v="1253.22"/>
    <n v="3104.71"/>
    <n v="0"/>
    <n v="17"/>
    <n v="52780.07"/>
    <n v="21304.74"/>
    <n v="31475.329999999998"/>
    <n v="0.59634877331538205"/>
  </r>
  <r>
    <s v="ORD-2025-542939"/>
    <x v="382"/>
    <d v="2025-02-08T00:00:00"/>
    <n v="26"/>
    <s v="QUARTER 1"/>
    <s v="Europe"/>
    <x v="9"/>
    <s v="Paris"/>
    <s v="Non-Profit"/>
    <s v="Retail"/>
    <s v="E. Garcia"/>
    <x v="3"/>
    <x v="472"/>
    <n v="594.74"/>
    <n v="1020.69"/>
    <n v="0.21099999999999999"/>
    <n v="6"/>
    <n v="4831.9464600000001"/>
    <n v="3568.44"/>
    <n v="1263.5064600000001"/>
    <n v="0.26149016146176424"/>
  </r>
  <r>
    <s v="ORD-2024-629525"/>
    <x v="383"/>
    <d v="2024-05-08T00:00:00"/>
    <n v="20"/>
    <s v="QUARTER 2"/>
    <s v="Europe"/>
    <x v="10"/>
    <s v="London"/>
    <s v="Non-Profit"/>
    <s v="Online"/>
    <s v="D. Smith"/>
    <x v="6"/>
    <x v="473"/>
    <n v="645.33000000000004"/>
    <n v="1321.85"/>
    <n v="0"/>
    <n v="10"/>
    <n v="13218.5"/>
    <n v="6453.3"/>
    <n v="6765.2"/>
    <n v="0.51179785906116426"/>
  </r>
  <r>
    <s v="ORD-2023-588455"/>
    <x v="384"/>
    <d v="2025-09-03T00:00:00"/>
    <n v="21"/>
    <s v="QUARTER 3"/>
    <s v="Europe"/>
    <x v="9"/>
    <s v="Paris"/>
    <s v="Education"/>
    <s v="Distributor"/>
    <s v="I. Johnson"/>
    <x v="2"/>
    <x v="474"/>
    <n v="603.47"/>
    <n v="1344.05"/>
    <n v="0.20499999999999999"/>
    <n v="18"/>
    <n v="19233.355499999998"/>
    <n v="10862.460000000001"/>
    <n v="8370.8954999999969"/>
    <n v="0.43522803392262976"/>
  </r>
  <r>
    <s v="ORD-2023-552115"/>
    <x v="385"/>
    <d v="2023-04-25T00:00:00"/>
    <n v="15"/>
    <s v="QUARTER 2"/>
    <s v="Europe"/>
    <x v="10"/>
    <s v="London"/>
    <s v="Small Business"/>
    <s v="Online"/>
    <s v="D. Smith"/>
    <x v="4"/>
    <x v="475"/>
    <n v="405.66"/>
    <n v="962.51"/>
    <n v="0.19"/>
    <n v="7"/>
    <n v="5457.4317000000001"/>
    <n v="2839.6200000000003"/>
    <n v="2617.8116999999997"/>
    <n v="0.47967832561239376"/>
  </r>
  <r>
    <s v="ORD-2023-548874"/>
    <x v="386"/>
    <d v="2023-04-09T00:00:00"/>
    <n v="21"/>
    <s v="QUARTER 1"/>
    <s v="Europe"/>
    <x v="10"/>
    <s v="Manchester"/>
    <s v="Consumer"/>
    <s v="Retail"/>
    <s v="L. Okafor"/>
    <x v="5"/>
    <x v="476"/>
    <n v="1082.17"/>
    <n v="1234.0999999999999"/>
    <n v="0.189"/>
    <n v="16"/>
    <n v="16013.681599999998"/>
    <n v="17314.72"/>
    <n v="-1301.0384000000031"/>
    <n v="-8.124542703534228E-2"/>
  </r>
  <r>
    <s v="ORD-2024-960952"/>
    <x v="295"/>
    <d v="2024-02-21T00:00:00"/>
    <n v="18"/>
    <s v="QUARTER 1"/>
    <s v="Europe"/>
    <x v="11"/>
    <s v="Frankfurt"/>
    <s v="Corporate"/>
    <s v="Marketplace"/>
    <s v="H. Kim"/>
    <x v="0"/>
    <x v="477"/>
    <n v="39.229999999999997"/>
    <n v="30.09"/>
    <n v="0.17699999999999999"/>
    <n v="13"/>
    <n v="321.93290999999999"/>
    <n v="509.98999999999995"/>
    <n v="-188.05708999999996"/>
    <n v="-0.58414993981199359"/>
  </r>
  <r>
    <s v="ORD-2025-822030"/>
    <x v="387"/>
    <d v="2025-02-17T00:00:00"/>
    <n v="17"/>
    <s v="QUARTER 1"/>
    <s v="Europe"/>
    <x v="10"/>
    <s v="London"/>
    <s v="Enterprise"/>
    <s v="Online"/>
    <s v="H. Kim"/>
    <x v="0"/>
    <x v="478"/>
    <n v="378.26"/>
    <n v="541.55999999999995"/>
    <n v="0.16300000000000001"/>
    <n v="25"/>
    <n v="11332.142999999998"/>
    <n v="9456.5"/>
    <n v="1875.6429999999982"/>
    <n v="0.16551529573885526"/>
  </r>
  <r>
    <s v="ORD-2024-289089"/>
    <x v="388"/>
    <d v="2024-12-18T00:00:00"/>
    <n v="1"/>
    <s v="QUARTER 4"/>
    <s v="Europe"/>
    <x v="11"/>
    <s v="Munich"/>
    <s v="Education"/>
    <s v="Online"/>
    <s v="L. Okafor"/>
    <x v="5"/>
    <x v="479"/>
    <n v="346.82"/>
    <n v="701.95"/>
    <n v="0.14699999999999999"/>
    <n v="8"/>
    <n v="4790.1068000000005"/>
    <n v="2774.56"/>
    <n v="2015.5468000000005"/>
    <n v="0.42077283120284509"/>
  </r>
  <r>
    <s v="ORD-2024-979401"/>
    <x v="389"/>
    <d v="2024-02-04T00:00:00"/>
    <n v="11"/>
    <s v="QUARTER 1"/>
    <s v="Europe"/>
    <x v="10"/>
    <s v="Manchester"/>
    <s v="Consumer"/>
    <s v="Online"/>
    <s v="B. Chen"/>
    <x v="6"/>
    <x v="480"/>
    <n v="525.34"/>
    <n v="1233.79"/>
    <n v="0.14299999999999999"/>
    <n v="4"/>
    <n v="4229.4321199999995"/>
    <n v="2101.36"/>
    <n v="2128.0721199999994"/>
    <n v="0.50315788494082736"/>
  </r>
  <r>
    <s v="ORD-2025-548982"/>
    <x v="390"/>
    <d v="2025-04-11T00:00:00"/>
    <n v="4"/>
    <s v="QUARTER 2"/>
    <s v="Europe"/>
    <x v="9"/>
    <s v="Lyon"/>
    <s v="Education"/>
    <s v="Marketplace"/>
    <s v="E. Garcia"/>
    <x v="1"/>
    <x v="481"/>
    <n v="754.77"/>
    <n v="1666.18"/>
    <n v="0.13900000000000001"/>
    <n v="14"/>
    <n v="20084.133720000002"/>
    <n v="10566.779999999999"/>
    <n v="9517.3537200000028"/>
    <n v="0.47387424584424653"/>
  </r>
  <r>
    <s v="ORD-2023-125739"/>
    <x v="284"/>
    <d v="2024-05-26T00:00:00"/>
    <n v="25"/>
    <s v="QUARTER 2"/>
    <s v="Europe"/>
    <x v="11"/>
    <s v="Berlin"/>
    <s v="Non-Profit"/>
    <s v="Marketplace"/>
    <s v="B. Chen"/>
    <x v="1"/>
    <x v="482"/>
    <n v="930.71"/>
    <n v="1625.42"/>
    <n v="0.13800000000000001"/>
    <n v="7"/>
    <n v="9807.7842799999999"/>
    <n v="6514.97"/>
    <n v="3292.8142799999996"/>
    <n v="0.33573477821231196"/>
  </r>
  <r>
    <s v="ORD-2023-732585"/>
    <x v="391"/>
    <d v="2023-04-06T00:00:00"/>
    <n v="20"/>
    <s v="QUARTER 1"/>
    <s v="Europe"/>
    <x v="11"/>
    <s v="Munich"/>
    <s v="Consumer"/>
    <s v="Distributor"/>
    <s v="O. Wang"/>
    <x v="2"/>
    <x v="483"/>
    <n v="692.18"/>
    <n v="1159.3499999999999"/>
    <n v="0.112"/>
    <n v="2"/>
    <n v="2059.0056"/>
    <n v="1384.36"/>
    <n v="674.64560000000006"/>
    <n v="0.32765602968734037"/>
  </r>
  <r>
    <s v="ORD-2024-206081"/>
    <x v="21"/>
    <d v="2025-01-08T00:00:00"/>
    <n v="29"/>
    <s v="QUARTER 4"/>
    <s v="Europe"/>
    <x v="9"/>
    <s v="Marseille"/>
    <s v="Small Business"/>
    <s v="Retail"/>
    <s v="K. Singh"/>
    <x v="4"/>
    <x v="484"/>
    <n v="891.08"/>
    <n v="1040.0999999999999"/>
    <n v="0.109"/>
    <n v="28"/>
    <n v="25948.414799999995"/>
    <n v="24950.240000000002"/>
    <n v="998.17479999999341"/>
    <n v="3.8467660074556598E-2"/>
  </r>
  <r>
    <s v="ORD-2025-330203"/>
    <x v="97"/>
    <d v="2025-04-17T00:00:00"/>
    <n v="23"/>
    <s v="QUARTER 1"/>
    <s v="Europe"/>
    <x v="10"/>
    <s v="London"/>
    <s v="Consumer"/>
    <s v="Retail"/>
    <s v="H. Kim"/>
    <x v="1"/>
    <x v="485"/>
    <n v="1421.19"/>
    <n v="1808.26"/>
    <n v="0.104"/>
    <n v="13"/>
    <n v="21062.61248"/>
    <n v="18475.47"/>
    <n v="2587.1424799999986"/>
    <n v="0.12283103449093123"/>
  </r>
  <r>
    <s v="ORD-2024-206121"/>
    <x v="13"/>
    <d v="2023-02-27T00:00:00"/>
    <n v="-1"/>
    <s v="QUARTER 1"/>
    <s v="Europe"/>
    <x v="9"/>
    <s v="Marseille"/>
    <s v="Corporate"/>
    <s v="Distributor"/>
    <s v="K. Singh"/>
    <x v="1"/>
    <x v="486"/>
    <n v="1299.81"/>
    <n v="3149.13"/>
    <n v="0.10299999999999999"/>
    <n v="14"/>
    <n v="39546.774539999999"/>
    <n v="18197.34"/>
    <n v="21349.434539999998"/>
    <n v="0.53985273864511729"/>
  </r>
  <r>
    <s v="ORD-2025-150713"/>
    <x v="388"/>
    <d v="2025-01-16T00:00:00"/>
    <n v="30"/>
    <s v="QUARTER 4"/>
    <s v="Europe"/>
    <x v="10"/>
    <s v="Manchester"/>
    <s v="Corporate"/>
    <s v="Retail"/>
    <s v="D. Smith"/>
    <x v="3"/>
    <x v="487"/>
    <n v="722.87"/>
    <n v="804.09"/>
    <n v="0.10199999999999999"/>
    <n v="28"/>
    <n v="20218.038960000002"/>
    <n v="20240.36"/>
    <n v="-22.321039999998902"/>
    <n v="-1.1040160741681991E-3"/>
  </r>
  <r>
    <s v="ORD-2023-597666"/>
    <x v="392"/>
    <d v="2024-12-08T00:00:00"/>
    <n v="0"/>
    <s v="QUARTER 4"/>
    <s v="Europe"/>
    <x v="9"/>
    <s v="Lyon"/>
    <s v="Enterprise"/>
    <s v="Distributor"/>
    <s v="H. Kim"/>
    <x v="0"/>
    <x v="488"/>
    <n v="257.44"/>
    <n v="290.33"/>
    <n v="9.1999999999999998E-2"/>
    <n v="23"/>
    <n v="6063.2517199999993"/>
    <n v="5921.12"/>
    <n v="142.1317199999994"/>
    <n v="2.3441500792581216E-2"/>
  </r>
  <r>
    <s v="ORD-2025-155182"/>
    <x v="393"/>
    <d v="2024-11-24T00:00:00"/>
    <n v="13"/>
    <s v="QUARTER 4"/>
    <s v="Europe"/>
    <x v="10"/>
    <s v="London"/>
    <s v="Corporate"/>
    <s v="Distributor"/>
    <s v="E. Garcia"/>
    <x v="1"/>
    <x v="489"/>
    <n v="164.53"/>
    <n v="327.72"/>
    <n v="6.7000000000000004E-2"/>
    <n v="14"/>
    <n v="4280.6786400000001"/>
    <n v="2303.42"/>
    <n v="1977.25864"/>
    <n v="0.46190307805960412"/>
  </r>
  <r>
    <s v="ORD-2023-676553"/>
    <x v="394"/>
    <d v="2024-08-07T00:00:00"/>
    <n v="20"/>
    <s v="QUARTER 3"/>
    <s v="Europe"/>
    <x v="9"/>
    <s v="Marseille"/>
    <s v="Corporate"/>
    <s v="Retail"/>
    <s v="F. Müller"/>
    <x v="3"/>
    <x v="490"/>
    <n v="941.35"/>
    <n v="899.83"/>
    <n v="5.8000000000000003E-2"/>
    <n v="18"/>
    <n v="15257.51748"/>
    <n v="16944.3"/>
    <n v="-1686.7825199999988"/>
    <n v="-0.11055419220139073"/>
  </r>
  <r>
    <s v="ORD-2023-855675"/>
    <x v="395"/>
    <d v="2024-01-03T00:00:00"/>
    <n v="8"/>
    <s v="QUARTER 4"/>
    <s v="Europe"/>
    <x v="9"/>
    <s v="Lyon"/>
    <s v="Small Business"/>
    <m/>
    <s v="M. Rossi"/>
    <x v="6"/>
    <x v="491"/>
    <n v="492.75"/>
    <n v="731.29"/>
    <n v="5.8000000000000003E-2"/>
    <n v="6"/>
    <n v="4133.25108"/>
    <n v="2956.5"/>
    <n v="1176.75108"/>
    <n v="0.28470350753528384"/>
  </r>
  <r>
    <s v="ORD-2023-195665"/>
    <x v="214"/>
    <d v="2023-05-07T00:00:00"/>
    <n v="18"/>
    <s v="QUARTER 2"/>
    <s v="Europe"/>
    <x v="10"/>
    <s v="Birmingham"/>
    <s v="Enterprise"/>
    <s v="Marketplace"/>
    <s v="N. Brown"/>
    <x v="6"/>
    <x v="492"/>
    <n v="1089.1500000000001"/>
    <n v="1088.2"/>
    <n v="5.0999999999999997E-2"/>
    <n v="15"/>
    <n v="15490.527"/>
    <n v="16337.250000000002"/>
    <n v="-846.72300000000178"/>
    <n v="-5.4660696824582002E-2"/>
  </r>
  <r>
    <s v="ORD-2024-510520"/>
    <x v="396"/>
    <d v="2024-09-04T00:00:00"/>
    <n v="13"/>
    <s v="QUARTER 3"/>
    <s v="Europe"/>
    <x v="11"/>
    <s v="Frankfurt"/>
    <s v="Non-Profit"/>
    <s v="Retail"/>
    <s v="L. Okafor"/>
    <x v="4"/>
    <x v="493"/>
    <n v="90.04"/>
    <n v="194.62"/>
    <n v="4.2999999999999997E-2"/>
    <n v="32"/>
    <n v="5960.04288"/>
    <n v="2881.28"/>
    <n v="3078.7628799999998"/>
    <n v="0.51656723650954672"/>
  </r>
  <r>
    <s v="ORD-2025-332931"/>
    <x v="397"/>
    <d v="2025-03-17T00:00:00"/>
    <n v="29"/>
    <s v="QUARTER 1"/>
    <s v="Europe"/>
    <x v="11"/>
    <s v="Munich"/>
    <s v="Consumer"/>
    <s v="Direct"/>
    <s v="L. Okafor"/>
    <x v="5"/>
    <x v="494"/>
    <n v="730.42"/>
    <n v="956.7"/>
    <n v="4.2000000000000003E-2"/>
    <n v="22"/>
    <n v="20163.409200000002"/>
    <n v="16069.24"/>
    <n v="4094.1692000000021"/>
    <n v="0.20304945256975698"/>
  </r>
  <r>
    <s v="ORD-2025-146850"/>
    <x v="398"/>
    <d v="2023-08-01T00:00:00"/>
    <n v="30"/>
    <s v="QUARTER 3"/>
    <s v="Europe"/>
    <x v="10"/>
    <s v="Birmingham"/>
    <s v="Small Business"/>
    <s v="Online"/>
    <s v="B. Chen"/>
    <x v="0"/>
    <x v="495"/>
    <n v="137.46"/>
    <n v="188.3"/>
    <n v="3.7999999999999999E-2"/>
    <n v="37"/>
    <n v="6702.3501999999999"/>
    <n v="5086.0200000000004"/>
    <n v="1616.3301999999994"/>
    <n v="0.24115872071262398"/>
  </r>
  <r>
    <s v="ORD-2023-399631"/>
    <x v="399"/>
    <d v="2023-07-21T00:00:00"/>
    <n v="29"/>
    <s v="QUARTER 2"/>
    <s v="Europe"/>
    <x v="9"/>
    <s v="Lyon"/>
    <s v="Corporate"/>
    <s v="Marketplace"/>
    <s v="J. Njeri"/>
    <x v="5"/>
    <x v="496"/>
    <n v="734.34"/>
    <n v="887.9"/>
    <n v="2.5000000000000001E-2"/>
    <n v="12"/>
    <n v="10388.429999999998"/>
    <n v="8812.08"/>
    <n v="1576.3499999999985"/>
    <n v="0.15174092716608753"/>
  </r>
  <r>
    <s v="ORD-2024-902741"/>
    <x v="400"/>
    <d v="2025-01-11T00:00:00"/>
    <n v="19"/>
    <s v="QUARTER 4"/>
    <s v="Europe"/>
    <x v="11"/>
    <s v="Berlin"/>
    <s v="Education"/>
    <s v="Direct"/>
    <s v="K. Singh"/>
    <x v="2"/>
    <x v="497"/>
    <n v="501.81"/>
    <n v="921.62"/>
    <n v="0.01"/>
    <n v="9"/>
    <n v="8211.6342000000004"/>
    <n v="4516.29"/>
    <n v="3695.3442000000005"/>
    <n v="0.45001325071202031"/>
  </r>
  <r>
    <s v="ORD-2023-630430"/>
    <x v="401"/>
    <d v="2023-06-19T00:00:00"/>
    <n v="23"/>
    <s v="QUARTER 2"/>
    <s v="Europe"/>
    <x v="11"/>
    <s v="Berlin"/>
    <s v="Education"/>
    <s v="Online"/>
    <s v="O. Wang"/>
    <x v="5"/>
    <x v="498"/>
    <n v="1471.58"/>
    <n v="2576.65"/>
    <n v="4.0000000000000001E-3"/>
    <n v="7"/>
    <n v="17964.4038"/>
    <n v="10301.06"/>
    <n v="7663.3438000000006"/>
    <n v="0.4265849223451546"/>
  </r>
  <r>
    <s v="ORD-2024-427031"/>
    <x v="402"/>
    <d v="2024-11-05T00:00:00"/>
    <n v="1"/>
    <s v="QUARTER 4"/>
    <s v="Europe"/>
    <x v="10"/>
    <s v="London"/>
    <s v="Corporate"/>
    <s v="Retail"/>
    <s v="M. Rossi"/>
    <x v="4"/>
    <x v="499"/>
    <n v="840.68"/>
    <n v="1493.53"/>
    <n v="0"/>
    <n v="27"/>
    <n v="40325.31"/>
    <n v="22698.359999999997"/>
    <n v="17626.95"/>
    <n v="0.43711877230454027"/>
  </r>
  <r>
    <s v="ORD-2024-548345"/>
    <x v="403"/>
    <d v="2024-05-28T00:00:00"/>
    <n v="14"/>
    <s v="QUARTER 2"/>
    <s v="Europe"/>
    <x v="10"/>
    <s v="Birmingham"/>
    <s v="Consumer"/>
    <s v="Online"/>
    <s v="B. Chen"/>
    <x v="1"/>
    <x v="500"/>
    <n v="1421.14"/>
    <n v="3524"/>
    <n v="0"/>
    <n v="31"/>
    <n v="109244"/>
    <n v="44055.340000000004"/>
    <n v="65188.659999999996"/>
    <n v="0.59672531214528945"/>
  </r>
  <r>
    <s v="ORD-2024-890180"/>
    <x v="404"/>
    <d v="2024-02-13T00:00:00"/>
    <n v="24"/>
    <s v="QUARTER 1"/>
    <s v="Europe"/>
    <x v="9"/>
    <s v="Marseille"/>
    <s v="Corporate"/>
    <s v="Retail"/>
    <s v="H. Kim"/>
    <x v="4"/>
    <x v="501"/>
    <n v="643.53"/>
    <n v="1439.01"/>
    <n v="0"/>
    <n v="15"/>
    <n v="21585.15"/>
    <n v="9652.9499999999989"/>
    <n v="11932.200000000003"/>
    <n v="0.55279671440782208"/>
  </r>
  <r>
    <s v="ORD-2024-329104"/>
    <x v="107"/>
    <d v="2024-06-14T00:00:00"/>
    <n v="22"/>
    <s v="QUARTER 2"/>
    <s v="Europe"/>
    <x v="9"/>
    <s v="Marseille"/>
    <s v="Small Business"/>
    <s v="Distributor"/>
    <s v="N. Brown"/>
    <x v="3"/>
    <x v="502"/>
    <n v="1481.74"/>
    <n v="1848.97"/>
    <n v="0.254"/>
    <n v="9"/>
    <n v="12413.98458"/>
    <n v="13335.66"/>
    <n v="-921.67541999999958"/>
    <n v="-7.4244930309072407E-2"/>
  </r>
  <r>
    <s v="ORD-2024-692673"/>
    <x v="405"/>
    <d v="2024-03-25T00:00:00"/>
    <n v="18"/>
    <s v="QUARTER 1"/>
    <s v="Europe"/>
    <x v="11"/>
    <s v="Munich"/>
    <s v="Corporate"/>
    <s v="Retail"/>
    <s v="B. Chen"/>
    <x v="0"/>
    <x v="503"/>
    <n v="712.84"/>
    <n v="927.51"/>
    <n v="0.24299999999999999"/>
    <n v="27"/>
    <n v="18957.37689"/>
    <n v="19246.68"/>
    <n v="-289.30311000000074"/>
    <n v="-1.5260714163076427E-2"/>
  </r>
  <r>
    <s v="ORD-2023-430904"/>
    <x v="406"/>
    <d v="2023-01-31T00:00:00"/>
    <n v="4"/>
    <s v="QUARTER 1"/>
    <s v="Europe"/>
    <x v="10"/>
    <s v="Manchester"/>
    <s v="Enterprise"/>
    <s v="Direct"/>
    <s v="N. Brown"/>
    <x v="6"/>
    <x v="504"/>
    <n v="941.2"/>
    <n v="668.02"/>
    <n v="0.22"/>
    <n v="16"/>
    <n v="8336.8896000000004"/>
    <n v="15059.2"/>
    <n v="-6722.3104000000003"/>
    <n v="-0.80633314371825193"/>
  </r>
  <r>
    <s v="ORD-2023-609394"/>
    <x v="407"/>
    <d v="2023-08-13T00:00:00"/>
    <n v="28"/>
    <s v="QUARTER 3"/>
    <s v="Europe"/>
    <x v="10"/>
    <s v="Manchester"/>
    <s v="Non-Profit"/>
    <s v="Online"/>
    <s v="J. Njeri"/>
    <x v="6"/>
    <x v="505"/>
    <n v="1039.03"/>
    <n v="2545.81"/>
    <n v="0.216"/>
    <n v="21"/>
    <n v="41914.215840000004"/>
    <n v="21819.63"/>
    <n v="20094.585840000003"/>
    <n v="0.47942172929364774"/>
  </r>
  <r>
    <s v="ORD-2024-437164"/>
    <x v="402"/>
    <d v="2024-11-07T00:00:00"/>
    <n v="3"/>
    <s v="QUARTER 4"/>
    <s v="Europe"/>
    <x v="9"/>
    <s v="Lyon"/>
    <s v="Corporate"/>
    <s v="Direct"/>
    <s v="O. Wang"/>
    <x v="3"/>
    <x v="506"/>
    <n v="740.68"/>
    <n v="1837.19"/>
    <n v="0.19700000000000001"/>
    <n v="17"/>
    <n v="25079.480689999997"/>
    <n v="12591.56"/>
    <n v="12487.920689999997"/>
    <n v="0.4979337827748298"/>
  </r>
  <r>
    <s v="ORD-2023-632893"/>
    <x v="408"/>
    <d v="2024-10-08T00:00:00"/>
    <n v="0"/>
    <s v="QUARTER 4"/>
    <s v="Europe"/>
    <x v="10"/>
    <s v="London"/>
    <s v="Corporate"/>
    <s v="Marketplace"/>
    <s v="E. Garcia"/>
    <x v="3"/>
    <x v="507"/>
    <n v="1108.1099999999999"/>
    <n v="2503.79"/>
    <n v="0.184"/>
    <n v="19"/>
    <n v="38818.760160000005"/>
    <n v="21054.089999999997"/>
    <n v="17764.670160000009"/>
    <n v="0.45763105485025896"/>
  </r>
  <r>
    <s v="ORD-2025-419532"/>
    <x v="409"/>
    <d v="2024-12-26T00:00:00"/>
    <n v="19"/>
    <s v="QUARTER 4"/>
    <s v="Europe"/>
    <x v="10"/>
    <s v="London"/>
    <s v="Enterprise"/>
    <s v="Marketplace"/>
    <s v="D. Smith"/>
    <x v="1"/>
    <x v="508"/>
    <n v="1035.24"/>
    <n v="2383.41"/>
    <n v="0.17"/>
    <n v="15"/>
    <n v="29673.454499999993"/>
    <n v="15528.6"/>
    <n v="14144.854499999992"/>
    <n v="0.47668378145860962"/>
  </r>
  <r>
    <s v="ORD-2024-571797"/>
    <x v="410"/>
    <d v="2024-04-18T00:00:00"/>
    <n v="9"/>
    <s v="QUARTER 2"/>
    <s v="Europe"/>
    <x v="9"/>
    <s v="Lyon"/>
    <s v="Consumer"/>
    <s v="Direct"/>
    <s v="E. Garcia"/>
    <x v="4"/>
    <x v="509"/>
    <n v="1288.8499999999999"/>
    <n v="2751.84"/>
    <n v="0.158"/>
    <n v="7"/>
    <n v="16219.34496"/>
    <n v="9021.9499999999989"/>
    <n v="7197.3949600000014"/>
    <n v="0.44375373837538756"/>
  </r>
  <r>
    <s v="ORD-2024-499009"/>
    <x v="411"/>
    <d v="2024-04-13T00:00:00"/>
    <n v="28"/>
    <s v="QUARTER 1"/>
    <s v="Europe"/>
    <x v="9"/>
    <s v="Paris"/>
    <s v="Small Business"/>
    <s v="Marketplace"/>
    <s v="K. Singh"/>
    <x v="4"/>
    <x v="510"/>
    <n v="287.61"/>
    <n v="628.54"/>
    <n v="0.13500000000000001"/>
    <n v="21"/>
    <n v="11417.429099999999"/>
    <n v="6039.81"/>
    <n v="5377.619099999999"/>
    <n v="0.47100087531964613"/>
  </r>
  <r>
    <s v="ORD-2024-783321"/>
    <x v="412"/>
    <d v="2024-12-15T00:00:00"/>
    <n v="25"/>
    <s v="QUARTER 4"/>
    <s v="Europe"/>
    <x v="9"/>
    <s v="Paris"/>
    <s v="Corporate"/>
    <s v="Direct"/>
    <s v="G. Dubois"/>
    <x v="4"/>
    <x v="511"/>
    <n v="1203.58"/>
    <n v="1856.16"/>
    <n v="0.129"/>
    <n v="22"/>
    <n v="35567.737920000007"/>
    <n v="26478.76"/>
    <n v="9088.9779200000085"/>
    <n v="0.25553994860295032"/>
  </r>
  <r>
    <s v="ORD-2024-286833"/>
    <x v="413"/>
    <d v="2024-09-04T00:00:00"/>
    <n v="21"/>
    <s v="QUARTER 3"/>
    <s v="Europe"/>
    <x v="10"/>
    <s v="Manchester"/>
    <s v="Non-Profit"/>
    <s v="Direct"/>
    <s v="J. Njeri"/>
    <x v="2"/>
    <x v="512"/>
    <n v="1138.8"/>
    <n v="2250.81"/>
    <n v="0.123"/>
    <n v="12"/>
    <n v="23687.524440000001"/>
    <n v="13665.599999999999"/>
    <n v="10021.924440000003"/>
    <n v="0.42308872188756258"/>
  </r>
  <r>
    <s v="ORD-2025-778145"/>
    <x v="352"/>
    <d v="2025-03-26T00:00:00"/>
    <n v="15"/>
    <s v="QUARTER 1"/>
    <s v="Europe"/>
    <x v="11"/>
    <s v="Berlin"/>
    <s v="Small Business"/>
    <s v="Retail"/>
    <s v="I. Johnson"/>
    <x v="2"/>
    <x v="513"/>
    <n v="116.97"/>
    <n v="140.82"/>
    <n v="0.122"/>
    <n v="5"/>
    <n v="618.19979999999987"/>
    <n v="584.85"/>
    <n v="33.349799999999846"/>
    <n v="5.3946636669891926E-2"/>
  </r>
  <r>
    <s v="ORD-2024-651852"/>
    <x v="414"/>
    <d v="2024-11-12T00:00:00"/>
    <n v="11"/>
    <s v="QUARTER 4"/>
    <s v="Europe"/>
    <x v="11"/>
    <s v="Frankfurt"/>
    <s v="Consumer"/>
    <s v="Distributor"/>
    <s v="B. Chen"/>
    <x v="4"/>
    <x v="514"/>
    <n v="599.84"/>
    <n v="1330.85"/>
    <n v="0.115"/>
    <n v="11"/>
    <n v="12955.824749999998"/>
    <n v="6598.2400000000007"/>
    <n v="6357.5847499999973"/>
    <n v="0.49071246892252063"/>
  </r>
  <r>
    <s v="ORD-2024-756884"/>
    <x v="12"/>
    <d v="2025-07-16T00:00:00"/>
    <n v="5"/>
    <s v="QUARTER 3"/>
    <s v="Europe"/>
    <x v="10"/>
    <s v="London"/>
    <s v="Enterprise"/>
    <s v="Distributor"/>
    <s v="K. Singh"/>
    <x v="4"/>
    <x v="515"/>
    <n v="930.03"/>
    <n v="1086.68"/>
    <n v="0.109"/>
    <n v="26"/>
    <n v="25174.028880000002"/>
    <n v="24180.78"/>
    <n v="993.24888000000283"/>
    <n v="3.9455300728168656E-2"/>
  </r>
  <r>
    <s v="ORD-2024-102866"/>
    <x v="269"/>
    <d v="2025-09-14T00:00:00"/>
    <n v="24"/>
    <s v="QUARTER 3"/>
    <s v="Europe"/>
    <x v="11"/>
    <s v="Berlin"/>
    <s v="Non-Profit"/>
    <s v="Marketplace"/>
    <s v="A. Patel"/>
    <x v="3"/>
    <x v="516"/>
    <n v="1397.67"/>
    <n v="3131.37"/>
    <n v="0.10299999999999999"/>
    <n v="20"/>
    <n v="56176.777799999996"/>
    <n v="27953.4"/>
    <n v="28223.377799999995"/>
    <n v="0.50240293062874808"/>
  </r>
  <r>
    <s v="ORD-2024-776337"/>
    <x v="180"/>
    <d v="2023-04-20T00:00:00"/>
    <n v="7"/>
    <s v="QUARTER 2"/>
    <s v="Europe"/>
    <x v="9"/>
    <s v="Lyon"/>
    <s v="Small Business"/>
    <s v="Retail"/>
    <s v="A. Patel"/>
    <x v="6"/>
    <x v="517"/>
    <n v="227.02"/>
    <n v="434.72"/>
    <n v="9.8000000000000004E-2"/>
    <n v="10"/>
    <n v="3921.1744000000008"/>
    <n v="2270.2000000000003"/>
    <n v="1650.9744000000005"/>
    <n v="0.42104079838938052"/>
  </r>
  <r>
    <s v="ORD-2023-286720"/>
    <x v="415"/>
    <d v="2023-02-15T00:00:00"/>
    <n v="20"/>
    <s v="QUARTER 1"/>
    <s v="Europe"/>
    <x v="11"/>
    <s v="Berlin"/>
    <s v="Small Business"/>
    <s v="Retail"/>
    <s v="O. Wang"/>
    <x v="1"/>
    <x v="518"/>
    <n v="492.62"/>
    <n v="366.7"/>
    <n v="8.8999999999999996E-2"/>
    <n v="10"/>
    <n v="3340.6370000000002"/>
    <n v="4926.2"/>
    <n v="-1585.5629999999996"/>
    <n v="-0.47462894052840809"/>
  </r>
  <r>
    <s v="ORD-2023-594955"/>
    <x v="334"/>
    <d v="2025-08-17T00:00:00"/>
    <n v="25"/>
    <s v="QUARTER 3"/>
    <s v="Europe"/>
    <x v="10"/>
    <s v="Birmingham"/>
    <s v="Education"/>
    <s v="Retail"/>
    <s v="I. Johnson"/>
    <x v="4"/>
    <x v="519"/>
    <n v="1142.06"/>
    <n v="1455"/>
    <n v="7.8E-2"/>
    <n v="28"/>
    <n v="37562.28"/>
    <n v="31977.68"/>
    <n v="5584.5999999999985"/>
    <n v="0.1486757459877302"/>
  </r>
  <r>
    <s v="ORD-2024-719055"/>
    <x v="51"/>
    <d v="2024-06-18T00:00:00"/>
    <n v="21"/>
    <s v="QUARTER 2"/>
    <s v="Europe"/>
    <x v="11"/>
    <s v="Frankfurt"/>
    <s v="Small Business"/>
    <s v="Online"/>
    <s v="E. Garcia"/>
    <x v="2"/>
    <x v="520"/>
    <n v="986.85"/>
    <n v="2422.1"/>
    <n v="7.5999999999999998E-2"/>
    <n v="10"/>
    <n v="22380.204000000002"/>
    <n v="9868.5"/>
    <n v="12511.704000000002"/>
    <n v="0.55905227673527913"/>
  </r>
  <r>
    <s v="ORD-2025-752192"/>
    <x v="416"/>
    <d v="2025-08-28T00:00:00"/>
    <n v="17"/>
    <s v="QUARTER 3"/>
    <s v="Europe"/>
    <x v="9"/>
    <s v="Paris"/>
    <s v="Education"/>
    <s v="Online"/>
    <s v="F. Müller"/>
    <x v="1"/>
    <x v="521"/>
    <n v="416.16"/>
    <n v="571.9"/>
    <n v="7.0999999999999994E-2"/>
    <n v="2"/>
    <n v="1062.5902000000001"/>
    <n v="832.32"/>
    <n v="230.27020000000005"/>
    <n v="0.21670649701079497"/>
  </r>
  <r>
    <s v="ORD-2024-287210"/>
    <x v="417"/>
    <d v="2024-03-21T00:00:00"/>
    <n v="3"/>
    <s v="QUARTER 1"/>
    <s v="Europe"/>
    <x v="11"/>
    <s v="Munich"/>
    <s v="Small Business"/>
    <s v="Direct"/>
    <s v="M. Rossi"/>
    <x v="5"/>
    <x v="522"/>
    <n v="910.63"/>
    <n v="1269.4000000000001"/>
    <n v="6.8000000000000005E-2"/>
    <n v="9"/>
    <n v="10647.727199999999"/>
    <n v="8195.67"/>
    <n v="2452.0571999999993"/>
    <n v="0.23028925834989455"/>
  </r>
  <r>
    <s v="ORD-2023-931633"/>
    <x v="418"/>
    <d v="2025-04-02T00:00:00"/>
    <n v="10"/>
    <s v="QUARTER 1"/>
    <s v="Europe"/>
    <x v="11"/>
    <s v="Berlin"/>
    <s v="Enterprise"/>
    <s v="Marketplace"/>
    <s v="E. Garcia"/>
    <x v="4"/>
    <x v="523"/>
    <n v="663.61"/>
    <n v="1002.11"/>
    <n v="4.5999999999999999E-2"/>
    <n v="17"/>
    <n v="16252.219979999998"/>
    <n v="11281.37"/>
    <n v="4970.8499799999972"/>
    <n v="0.30585667595670812"/>
  </r>
  <r>
    <s v="ORD-2025-745263"/>
    <x v="100"/>
    <d v="2025-05-19T00:00:00"/>
    <n v="-2"/>
    <s v="QUARTER 2"/>
    <s v="Europe"/>
    <x v="10"/>
    <s v="Birmingham"/>
    <s v="Enterprise"/>
    <s v="Retail"/>
    <s v="M. Rossi"/>
    <x v="6"/>
    <x v="524"/>
    <n v="1015.16"/>
    <n v="2148.14"/>
    <n v="3.7999999999999999E-2"/>
    <n v="19"/>
    <n v="39263.702919999996"/>
    <n v="19288.04"/>
    <n v="19975.662919999995"/>
    <n v="0.50875647059322227"/>
  </r>
  <r>
    <s v="ORD-2025-137394"/>
    <x v="281"/>
    <d v="2023-06-08T00:00:00"/>
    <n v="7"/>
    <s v="QUARTER 2"/>
    <s v="Europe"/>
    <x v="11"/>
    <s v="Frankfurt"/>
    <s v="Consumer"/>
    <s v="Direct"/>
    <s v="A. Patel"/>
    <x v="2"/>
    <x v="525"/>
    <n v="804.17"/>
    <n v="1072.29"/>
    <n v="3.2000000000000001E-2"/>
    <n v="5"/>
    <n v="5189.8836000000001"/>
    <n v="4020.85"/>
    <n v="1169.0336000000002"/>
    <n v="0.2252523736755869"/>
  </r>
  <r>
    <s v="ORD-2023-920483"/>
    <x v="214"/>
    <d v="2023-04-28T00:00:00"/>
    <n v="9"/>
    <s v="QUARTER 2"/>
    <s v="Europe"/>
    <x v="11"/>
    <s v="Berlin"/>
    <s v="Education"/>
    <s v="Online"/>
    <s v="E. Garcia"/>
    <x v="3"/>
    <x v="526"/>
    <n v="1178.42"/>
    <n v="2446.56"/>
    <n v="2.9000000000000001E-2"/>
    <n v="11"/>
    <n v="26131.70736"/>
    <n v="12962.62"/>
    <n v="13169.08736"/>
    <n v="0.5039505141618883"/>
  </r>
  <r>
    <s v="ORD-2024-550400"/>
    <x v="235"/>
    <d v="2024-03-22T00:00:00"/>
    <n v="13"/>
    <s v="QUARTER 1"/>
    <s v="Europe"/>
    <x v="10"/>
    <s v="Manchester"/>
    <s v="Consumer"/>
    <s v="Marketplace"/>
    <s v="E. Garcia"/>
    <x v="6"/>
    <x v="527"/>
    <n v="985.45"/>
    <n v="1802.44"/>
    <n v="8.9999999999999993E-3"/>
    <n v="19"/>
    <n v="33938.142760000002"/>
    <n v="18723.55"/>
    <n v="15214.592760000003"/>
    <n v="0.44830363486867486"/>
  </r>
  <r>
    <s v="ORD-2024-210687"/>
    <x v="122"/>
    <d v="2024-02-09T00:00:00"/>
    <n v="12"/>
    <s v="QUARTER 1"/>
    <s v="Europe"/>
    <x v="11"/>
    <s v="Berlin"/>
    <s v="Corporate"/>
    <s v="Direct"/>
    <s v="G. Dubois"/>
    <x v="5"/>
    <x v="528"/>
    <n v="644.16999999999996"/>
    <n v="700.12"/>
    <n v="6.0000000000000001E-3"/>
    <n v="23"/>
    <n v="16006.14344"/>
    <n v="14815.91"/>
    <n v="1190.23344"/>
    <n v="7.436103796405813E-2"/>
  </r>
  <r>
    <s v="ORD-2025-191328"/>
    <x v="347"/>
    <d v="2025-01-22T00:00:00"/>
    <n v="0"/>
    <s v="QUARTER 1"/>
    <s v="Europe"/>
    <x v="9"/>
    <s v="Lyon"/>
    <s v="Small Business"/>
    <s v="Marketplace"/>
    <s v="B. Chen"/>
    <x v="5"/>
    <x v="529"/>
    <n v="591.72"/>
    <n v="577.24"/>
    <n v="0"/>
    <n v="22"/>
    <n v="12699.28"/>
    <n v="13017.84"/>
    <n v="-318.55999999999949"/>
    <n v="-2.5084886702238195E-2"/>
  </r>
  <r>
    <s v="ORD-2025-845715"/>
    <x v="419"/>
    <d v="2025-05-04T00:00:00"/>
    <n v="20"/>
    <s v="QUARTER 2"/>
    <s v="Europe"/>
    <x v="10"/>
    <s v="Birmingham"/>
    <s v="Enterprise"/>
    <s v="Marketplace"/>
    <s v="K. Singh"/>
    <x v="3"/>
    <x v="530"/>
    <n v="1413.87"/>
    <n v="3275"/>
    <n v="0.255"/>
    <n v="38"/>
    <n v="92715.25"/>
    <n v="53727.06"/>
    <n v="38988.19"/>
    <n v="0.42051539525590453"/>
  </r>
  <r>
    <s v="ORD-2023-933238"/>
    <x v="121"/>
    <d v="2024-05-21T00:00:00"/>
    <n v="3"/>
    <s v="QUARTER 2"/>
    <s v="Europe"/>
    <x v="9"/>
    <s v="Marseille"/>
    <s v="Non-Profit"/>
    <s v="Marketplace"/>
    <s v="D. Smith"/>
    <x v="4"/>
    <x v="531"/>
    <n v="663.66"/>
    <n v="824.26"/>
    <n v="0.23899999999999999"/>
    <n v="11"/>
    <n v="6899.8804600000003"/>
    <n v="7300.2599999999993"/>
    <n v="-400.379539999999"/>
    <n v="-5.8027025587048933E-2"/>
  </r>
  <r>
    <s v="ORD-2023-747341"/>
    <x v="420"/>
    <d v="2024-12-12T00:00:00"/>
    <n v="8"/>
    <s v="QUARTER 4"/>
    <s v="Europe"/>
    <x v="11"/>
    <s v="Frankfurt"/>
    <s v="Enterprise"/>
    <s v="Distributor"/>
    <s v="B. Chen"/>
    <x v="4"/>
    <x v="532"/>
    <n v="72.06"/>
    <n v="122.74"/>
    <n v="0.23799999999999999"/>
    <n v="8"/>
    <n v="748.22303999999997"/>
    <n v="576.48"/>
    <n v="171.74303999999995"/>
    <n v="0.22953455162246802"/>
  </r>
  <r>
    <s v="ORD-2025-526650"/>
    <x v="236"/>
    <d v="2025-05-25T00:00:00"/>
    <n v="28"/>
    <s v="QUARTER 2"/>
    <s v="Europe"/>
    <x v="9"/>
    <s v="Paris"/>
    <s v="Small Business"/>
    <s v="Online"/>
    <s v="I. Johnson"/>
    <x v="2"/>
    <x v="533"/>
    <n v="603.45000000000005"/>
    <n v="1244.08"/>
    <n v="0.2"/>
    <n v="11"/>
    <n v="10947.904"/>
    <n v="6637.9500000000007"/>
    <n v="4309.9539999999997"/>
    <n v="0.39367846119220623"/>
  </r>
  <r>
    <s v="ORD-2025-254721"/>
    <x v="421"/>
    <d v="2024-05-24T00:00:00"/>
    <n v="12"/>
    <s v="QUARTER 2"/>
    <s v="Europe"/>
    <x v="10"/>
    <s v="Manchester"/>
    <s v="Education"/>
    <s v="Online"/>
    <s v="K. Singh"/>
    <x v="4"/>
    <x v="534"/>
    <n v="111.02"/>
    <n v="172.88"/>
    <n v="0.19700000000000001"/>
    <n v="29"/>
    <n v="4025.8565599999993"/>
    <n v="3219.58"/>
    <n v="806.27655999999934"/>
    <n v="0.20027453735212053"/>
  </r>
  <r>
    <s v="ORD-2023-701153"/>
    <x v="422"/>
    <d v="2023-02-21T00:00:00"/>
    <n v="22"/>
    <s v="QUARTER 1"/>
    <s v="Europe"/>
    <x v="11"/>
    <s v="Munich"/>
    <s v="Small Business"/>
    <s v="Distributor"/>
    <s v="G. Dubois"/>
    <x v="1"/>
    <x v="535"/>
    <n v="1142.8800000000001"/>
    <n v="1465.29"/>
    <n v="0.186"/>
    <n v="7"/>
    <n v="8349.2224200000001"/>
    <n v="8000.1600000000008"/>
    <n v="349.06241999999929"/>
    <n v="4.1807775915017401E-2"/>
  </r>
  <r>
    <s v="ORD-2023-156396"/>
    <x v="423"/>
    <d v="2024-01-08T00:00:00"/>
    <n v="9"/>
    <s v="QUARTER 4"/>
    <s v="Europe"/>
    <x v="9"/>
    <s v="Marseille"/>
    <s v="Consumer"/>
    <s v="Distributor"/>
    <s v="L. Okafor"/>
    <x v="5"/>
    <x v="536"/>
    <n v="861.1"/>
    <n v="1224.72"/>
    <n v="0.17399999999999999"/>
    <n v="24"/>
    <n v="24278.849280000002"/>
    <n v="20666.400000000001"/>
    <n v="3612.4492800000007"/>
    <n v="0.14878997098827909"/>
  </r>
  <r>
    <s v="ORD-2025-532859"/>
    <x v="325"/>
    <d v="2023-08-19T00:00:00"/>
    <n v="20"/>
    <s v="QUARTER 3"/>
    <s v="Europe"/>
    <x v="9"/>
    <s v="Paris"/>
    <s v="Enterprise"/>
    <s v="Marketplace"/>
    <s v="G. Dubois"/>
    <x v="1"/>
    <x v="537"/>
    <n v="1418.51"/>
    <n v="2789.61"/>
    <n v="0.17100000000000001"/>
    <n v="8"/>
    <n v="18500.693520000001"/>
    <n v="11348.08"/>
    <n v="7152.6135200000008"/>
    <n v="0.38661326464695689"/>
  </r>
  <r>
    <s v="ORD-2024-320972"/>
    <x v="424"/>
    <d v="2025-05-02T00:00:00"/>
    <n v="10"/>
    <s v="QUARTER 2"/>
    <s v="Europe"/>
    <x v="11"/>
    <s v="Berlin"/>
    <s v="Corporate"/>
    <s v="Direct"/>
    <s v="C. Otieno"/>
    <x v="3"/>
    <x v="538"/>
    <n v="20.149999999999999"/>
    <n v="39.74"/>
    <n v="0.151"/>
    <n v="18"/>
    <n v="607.30668000000003"/>
    <n v="362.7"/>
    <n v="244.60668000000004"/>
    <n v="0.4027729120318585"/>
  </r>
  <r>
    <s v="ORD-2024-862371"/>
    <x v="425"/>
    <d v="2025-04-13T00:00:00"/>
    <n v="9"/>
    <s v="QUARTER 2"/>
    <s v="Europe"/>
    <x v="11"/>
    <s v="Munich"/>
    <s v="Consumer"/>
    <s v="Retail"/>
    <s v="F. Müller"/>
    <x v="2"/>
    <x v="539"/>
    <n v="7.02"/>
    <n v="6.28"/>
    <n v="0.13400000000000001"/>
    <n v="14"/>
    <n v="76.138720000000006"/>
    <n v="98.28"/>
    <n v="-22.141279999999995"/>
    <n v="-0.29080184169106066"/>
  </r>
  <r>
    <s v="ORD-2025-252117"/>
    <x v="426"/>
    <d v="2025-09-03T00:00:00"/>
    <n v="4"/>
    <s v="QUARTER 3"/>
    <s v="Europe"/>
    <x v="9"/>
    <s v="Marseille"/>
    <s v="Small Business"/>
    <s v="Distributor"/>
    <s v="J. Njeri"/>
    <x v="6"/>
    <x v="540"/>
    <n v="1286.56"/>
    <n v="2777.35"/>
    <n v="0.13200000000000001"/>
    <n v="15"/>
    <n v="36161.097000000002"/>
    <n v="19298.399999999998"/>
    <n v="16862.697000000004"/>
    <n v="0.46632150014696744"/>
  </r>
  <r>
    <s v="ORD-2025-766923"/>
    <x v="127"/>
    <d v="2025-02-15T00:00:00"/>
    <n v="0"/>
    <s v="QUARTER 1"/>
    <s v="Europe"/>
    <x v="11"/>
    <s v="Frankfurt"/>
    <s v="Small Business"/>
    <s v="Marketplace"/>
    <s v="L. Okafor"/>
    <x v="5"/>
    <x v="541"/>
    <n v="815.83"/>
    <n v="1982.18"/>
    <n v="0.127"/>
    <n v="6"/>
    <n v="10382.65884"/>
    <n v="4894.9800000000005"/>
    <n v="5487.6788399999996"/>
    <n v="0.52854272923408507"/>
  </r>
  <r>
    <s v="ORD-2023-292714"/>
    <x v="427"/>
    <d v="2023-08-01T00:00:00"/>
    <n v="22"/>
    <s v="QUARTER 3"/>
    <s v="Europe"/>
    <x v="9"/>
    <s v="Marseille"/>
    <s v="Consumer"/>
    <s v="Marketplace"/>
    <s v="B. Chen"/>
    <x v="4"/>
    <x v="542"/>
    <n v="1303.56"/>
    <n v="1791.37"/>
    <n v="0.126"/>
    <n v="22"/>
    <n v="34444.462359999998"/>
    <n v="28678.32"/>
    <n v="5766.142359999998"/>
    <n v="0.16740404596055358"/>
  </r>
  <r>
    <s v="ORD-2025-909340"/>
    <x v="428"/>
    <d v="2024-08-08T00:00:00"/>
    <n v="15"/>
    <s v="QUARTER 3"/>
    <s v="Europe"/>
    <x v="9"/>
    <s v="Marseille"/>
    <s v="Enterprise"/>
    <s v="Direct"/>
    <s v="H. Kim"/>
    <x v="6"/>
    <x v="543"/>
    <n v="501.5"/>
    <n v="1201.47"/>
    <n v="0.126"/>
    <n v="5"/>
    <n v="5250.4239000000007"/>
    <n v="2507.5"/>
    <n v="2742.9239000000007"/>
    <n v="0.52241951359394057"/>
  </r>
  <r>
    <s v="ORD-2024-202877"/>
    <x v="13"/>
    <d v="2023-03-06T00:00:00"/>
    <n v="6"/>
    <s v="QUARTER 1"/>
    <s v="Europe"/>
    <x v="11"/>
    <s v="Frankfurt"/>
    <s v="Small Business"/>
    <s v="Retail"/>
    <s v="D. Smith"/>
    <x v="4"/>
    <x v="544"/>
    <n v="880.02"/>
    <n v="1251.21"/>
    <n v="0.123"/>
    <n v="29"/>
    <n v="31822.023930000003"/>
    <n v="25520.579999999998"/>
    <n v="6301.4439300000049"/>
    <n v="0.19802146915172672"/>
  </r>
  <r>
    <s v="ORD-2023-525643"/>
    <x v="424"/>
    <d v="2025-05-12T00:00:00"/>
    <n v="20"/>
    <s v="QUARTER 2"/>
    <s v="Europe"/>
    <x v="9"/>
    <s v="Lyon"/>
    <s v="Enterprise"/>
    <s v="Direct"/>
    <s v="K. Singh"/>
    <x v="3"/>
    <x v="545"/>
    <n v="59.51"/>
    <n v="67.040000000000006"/>
    <n v="0.114"/>
    <n v="9"/>
    <n v="534.57695999999999"/>
    <n v="535.59"/>
    <n v="-1.0130400000000463"/>
    <n v="-1.8950311663264469E-3"/>
  </r>
  <r>
    <s v="ORD-2025-591006"/>
    <x v="111"/>
    <d v="2024-06-25T00:00:00"/>
    <n v="2"/>
    <s v="QUARTER 2"/>
    <s v="Europe"/>
    <x v="10"/>
    <s v="Birmingham"/>
    <s v="Small Business"/>
    <s v="Distributor"/>
    <s v="L. Okafor"/>
    <x v="5"/>
    <x v="546"/>
    <n v="951.44"/>
    <n v="1646.43"/>
    <n v="0.11"/>
    <n v="24"/>
    <n v="35167.7448"/>
    <n v="22834.560000000001"/>
    <n v="12333.184799999999"/>
    <n v="0.35069592520473475"/>
  </r>
  <r>
    <s v="ORD-2023-664749"/>
    <x v="429"/>
    <d v="2023-09-11T00:00:00"/>
    <n v="15"/>
    <s v="QUARTER 3"/>
    <s v="Europe"/>
    <x v="10"/>
    <s v="London"/>
    <s v="Consumer"/>
    <s v="Direct"/>
    <s v="N. Brown"/>
    <x v="4"/>
    <x v="547"/>
    <n v="943.79"/>
    <n v="1913.76"/>
    <n v="9.0999999999999998E-2"/>
    <n v="9"/>
    <n v="15656.47056"/>
    <n v="8494.11"/>
    <n v="7162.3605599999992"/>
    <n v="0.45746967891338081"/>
  </r>
  <r>
    <s v="ORD-2025-114382"/>
    <x v="229"/>
    <d v="2025-05-24T00:00:00"/>
    <n v="10"/>
    <s v="QUARTER 2"/>
    <s v="Europe"/>
    <x v="9"/>
    <s v="Paris"/>
    <s v="Small Business"/>
    <s v="Retail"/>
    <s v="K. Singh"/>
    <x v="0"/>
    <x v="548"/>
    <n v="170.39"/>
    <n v="388.04"/>
    <n v="8.4000000000000005E-2"/>
    <n v="15"/>
    <n v="5331.6696000000002"/>
    <n v="2555.85"/>
    <n v="2775.8196000000003"/>
    <n v="0.52062858508711796"/>
  </r>
  <r>
    <s v="ORD-2023-159821"/>
    <x v="430"/>
    <d v="2025-07-10T00:00:00"/>
    <n v="15"/>
    <s v="QUARTER 2"/>
    <s v="Europe"/>
    <x v="10"/>
    <s v="Birmingham"/>
    <s v="Non-Profit"/>
    <s v="Online"/>
    <s v="D. Smith"/>
    <x v="2"/>
    <x v="549"/>
    <n v="546.83000000000004"/>
    <n v="400.84"/>
    <n v="7.8E-2"/>
    <n v="13"/>
    <n v="4804.4682400000002"/>
    <n v="7108.7900000000009"/>
    <n v="-2304.3217600000007"/>
    <n v="-0.47962056254533608"/>
  </r>
  <r>
    <s v="ORD-2025-639542"/>
    <x v="348"/>
    <d v="2025-06-18T00:00:00"/>
    <n v="9"/>
    <s v="QUARTER 2"/>
    <s v="Europe"/>
    <x v="9"/>
    <s v="Marseille"/>
    <s v="Small Business"/>
    <s v="Distributor"/>
    <s v="H. Kim"/>
    <x v="5"/>
    <x v="550"/>
    <n v="1225.5"/>
    <n v="804.09"/>
    <n v="7.4999999999999997E-2"/>
    <n v="56"/>
    <n v="41651.862000000001"/>
    <n v="68628"/>
    <n v="-26976.137999999999"/>
    <n v="-0.6476574324576414"/>
  </r>
  <r>
    <s v="ORD-2024-584090"/>
    <x v="274"/>
    <d v="2024-06-26T00:00:00"/>
    <n v="19"/>
    <s v="QUARTER 2"/>
    <s v="Europe"/>
    <x v="11"/>
    <s v="Berlin"/>
    <s v="Non-Profit"/>
    <s v="Direct"/>
    <s v="M. Rossi"/>
    <x v="0"/>
    <x v="551"/>
    <n v="1064.32"/>
    <n v="1848.39"/>
    <n v="7.2999999999999995E-2"/>
    <n v="38"/>
    <n v="65111.38614000001"/>
    <n v="40444.159999999996"/>
    <n v="24667.226140000013"/>
    <n v="0.3788465827921631"/>
  </r>
  <r>
    <s v="ORD-2024-207669"/>
    <x v="431"/>
    <d v="2025-02-08T00:00:00"/>
    <n v="4"/>
    <s v="QUARTER 1"/>
    <s v="Europe"/>
    <x v="10"/>
    <s v="Manchester"/>
    <s v="Enterprise"/>
    <s v="Distributor"/>
    <s v="L. Okafor"/>
    <x v="1"/>
    <x v="552"/>
    <n v="586.21"/>
    <n v="727.22"/>
    <n v="6.8000000000000005E-2"/>
    <n v="15"/>
    <n v="10166.535600000001"/>
    <n v="8793.1500000000015"/>
    <n v="1373.3855999999996"/>
    <n v="0.13508884973559721"/>
  </r>
  <r>
    <s v="ORD-2023-390998"/>
    <x v="431"/>
    <d v="2025-02-25T00:00:00"/>
    <n v="21"/>
    <s v="QUARTER 1"/>
    <s v="Europe"/>
    <x v="10"/>
    <s v="Birmingham"/>
    <s v="Corporate"/>
    <s v="Direct"/>
    <s v="D. Smith"/>
    <x v="3"/>
    <x v="553"/>
    <n v="1016.32"/>
    <n v="2253.42"/>
    <n v="5.5E-2"/>
    <n v="12"/>
    <n v="25553.782800000001"/>
    <n v="12195.84"/>
    <n v="13357.942800000001"/>
    <n v="0.52273837124419797"/>
  </r>
  <r>
    <s v="ORD-2023-406606"/>
    <x v="257"/>
    <d v="2024-09-13T00:00:00"/>
    <n v="4"/>
    <s v="QUARTER 3"/>
    <s v="Europe"/>
    <x v="10"/>
    <s v="London"/>
    <s v="Consumer"/>
    <s v="Online"/>
    <s v="F. Müller"/>
    <x v="1"/>
    <x v="554"/>
    <n v="1133.08"/>
    <n v="976.17"/>
    <n v="4.2000000000000003E-2"/>
    <n v="27"/>
    <n v="25249.613219999999"/>
    <n v="30593.159999999996"/>
    <n v="-5343.5467799999969"/>
    <n v="-0.21162885678452373"/>
  </r>
  <r>
    <s v="ORD-2023-474313"/>
    <x v="432"/>
    <d v="2024-05-19T00:00:00"/>
    <n v="20"/>
    <s v="QUARTER 2"/>
    <s v="Europe"/>
    <x v="11"/>
    <s v="Frankfurt"/>
    <s v="Enterprise"/>
    <s v="Distributor"/>
    <s v="C. Otieno"/>
    <x v="6"/>
    <x v="555"/>
    <n v="668.97"/>
    <n v="1667.44"/>
    <n v="3.4000000000000002E-2"/>
    <n v="15"/>
    <n v="24161.205600000001"/>
    <n v="10034.550000000001"/>
    <n v="14126.6556"/>
    <n v="0.58468339013679016"/>
  </r>
  <r>
    <s v="ORD-2024-764468"/>
    <x v="213"/>
    <d v="2024-02-21T00:00:00"/>
    <n v="20"/>
    <s v="QUARTER 1"/>
    <s v="Europe"/>
    <x v="9"/>
    <s v="Paris"/>
    <s v="Small Business"/>
    <s v="Distributor"/>
    <s v="A. Patel"/>
    <x v="1"/>
    <x v="556"/>
    <n v="656.2"/>
    <n v="1467.17"/>
    <n v="1.7999999999999999E-2"/>
    <n v="5"/>
    <n v="7203.8047000000006"/>
    <n v="3281"/>
    <n v="3922.8047000000006"/>
    <n v="0.54454623124360946"/>
  </r>
  <r>
    <s v="ORD-2024-223618"/>
    <x v="433"/>
    <d v="2024-06-11T00:00:00"/>
    <n v="1"/>
    <s v="QUARTER 2"/>
    <s v="Europe"/>
    <x v="10"/>
    <s v="Birmingham"/>
    <s v="Small Business"/>
    <s v="Marketplace"/>
    <s v="M. Rossi"/>
    <x v="6"/>
    <x v="557"/>
    <n v="1187.1300000000001"/>
    <n v="1795.17"/>
    <n v="1.2E-2"/>
    <n v="17"/>
    <n v="30151.675319999998"/>
    <n v="20181.210000000003"/>
    <n v="9970.4653199999957"/>
    <n v="0.33067699271046663"/>
  </r>
  <r>
    <s v="ORD-2023-539967"/>
    <x v="434"/>
    <d v="2024-05-18T00:00:00"/>
    <n v="13"/>
    <s v="QUARTER 2"/>
    <s v="Europe"/>
    <x v="9"/>
    <s v="Marseille"/>
    <s v="Corporate"/>
    <s v="Marketplace"/>
    <s v="A. Patel"/>
    <x v="0"/>
    <x v="558"/>
    <n v="1264.04"/>
    <n v="1870.89"/>
    <n v="0"/>
    <n v="13"/>
    <n v="24321.57"/>
    <n v="16432.52"/>
    <n v="7889.0499999999993"/>
    <n v="0.32436433996653996"/>
  </r>
  <r>
    <s v="ORD-2024-788105"/>
    <x v="45"/>
    <d v="2024-12-30T00:00:00"/>
    <n v="30"/>
    <s v="QUARTER 4"/>
    <s v="Europe"/>
    <x v="9"/>
    <s v="Marseille"/>
    <s v="Consumer"/>
    <s v="Retail"/>
    <s v="F. Müller"/>
    <x v="4"/>
    <x v="559"/>
    <n v="117.64"/>
    <n v="175.67"/>
    <n v="0"/>
    <n v="10"/>
    <n v="1756.6999999999998"/>
    <n v="1176.4000000000001"/>
    <n v="580.29999999999973"/>
    <n v="0.33033528775545046"/>
  </r>
  <r>
    <s v="ORD-2025-993993"/>
    <x v="435"/>
    <d v="2023-04-16T00:00:00"/>
    <n v="13"/>
    <s v="QUARTER 2"/>
    <s v="Europe"/>
    <x v="9"/>
    <s v="Marseille"/>
    <s v="Non-Profit"/>
    <s v="Distributor"/>
    <s v="M. Rossi"/>
    <x v="5"/>
    <x v="560"/>
    <n v="790.54"/>
    <n v="601.49"/>
    <n v="0"/>
    <n v="15"/>
    <n v="9022.35"/>
    <n v="11858.099999999999"/>
    <n v="-2835.7499999999982"/>
    <n v="-0.31430281467688553"/>
  </r>
  <r>
    <s v="ORD-2023-623293"/>
    <x v="436"/>
    <d v="2024-02-11T00:00:00"/>
    <n v="26"/>
    <s v="QUARTER 1"/>
    <s v="Europe"/>
    <x v="11"/>
    <s v="Frankfurt"/>
    <s v="Non-Profit"/>
    <s v="Marketplace"/>
    <s v="E. Garcia"/>
    <x v="3"/>
    <x v="561"/>
    <n v="504.93"/>
    <n v="819.06"/>
    <n v="0.22600000000000001"/>
    <n v="15"/>
    <n v="9509.2865999999995"/>
    <n v="7573.95"/>
    <n v="1935.3365999999996"/>
    <n v="0.20352069312959814"/>
  </r>
  <r>
    <s v="ORD-2024-371409"/>
    <x v="228"/>
    <d v="2023-11-24T00:00:00"/>
    <n v="30"/>
    <s v="QUARTER 4"/>
    <s v="Europe"/>
    <x v="9"/>
    <s v="Paris"/>
    <s v="Enterprise"/>
    <s v="Marketplace"/>
    <s v="C. Otieno"/>
    <x v="2"/>
    <x v="562"/>
    <n v="287.85000000000002"/>
    <n v="602.91999999999996"/>
    <n v="0.222"/>
    <n v="11"/>
    <n v="5159.7893599999998"/>
    <n v="3166.3500000000004"/>
    <n v="1993.4393599999994"/>
    <n v="0.38634122847216373"/>
  </r>
  <r>
    <s v="ORD-2025-578007"/>
    <x v="9"/>
    <d v="2025-02-16T00:00:00"/>
    <n v="26"/>
    <s v="QUARTER 1"/>
    <s v="Europe"/>
    <x v="9"/>
    <s v="Lyon"/>
    <s v="Corporate"/>
    <s v="Marketplace"/>
    <s v="O. Wang"/>
    <x v="6"/>
    <x v="563"/>
    <n v="204.11"/>
    <n v="236.87"/>
    <n v="0.182"/>
    <n v="13"/>
    <n v="2518.8755800000004"/>
    <n v="2653.4300000000003"/>
    <n v="-134.55441999999994"/>
    <n v="-5.3418446337075494E-2"/>
  </r>
  <r>
    <s v="ORD-2023-744942"/>
    <x v="437"/>
    <d v="2024-04-24T00:00:00"/>
    <n v="-2"/>
    <s v="QUARTER 2"/>
    <s v="Europe"/>
    <x v="10"/>
    <s v="London"/>
    <s v="Non-Profit"/>
    <s v="Direct"/>
    <s v="N. Brown"/>
    <x v="2"/>
    <x v="564"/>
    <n v="1232.77"/>
    <n v="891.73"/>
    <n v="0.16700000000000001"/>
    <n v="10"/>
    <n v="7428.1108999999988"/>
    <n v="12327.7"/>
    <n v="-4899.589100000002"/>
    <n v="-0.65960096260813805"/>
  </r>
  <r>
    <s v="ORD-2025-949776"/>
    <x v="438"/>
    <d v="2024-01-27T00:00:00"/>
    <n v="26"/>
    <s v="QUARTER 1"/>
    <s v="Europe"/>
    <x v="10"/>
    <s v="Manchester"/>
    <s v="Education"/>
    <s v="Marketplace"/>
    <s v="D. Smith"/>
    <x v="5"/>
    <x v="565"/>
    <n v="657.45"/>
    <n v="1325.96"/>
    <n v="0.16700000000000001"/>
    <n v="21"/>
    <n v="23195.01828"/>
    <n v="13806.45"/>
    <n v="9388.5682799999995"/>
    <n v="0.40476658249048808"/>
  </r>
  <r>
    <s v="ORD-2023-349264"/>
    <x v="439"/>
    <d v="2024-10-11T00:00:00"/>
    <n v="1"/>
    <s v="QUARTER 4"/>
    <s v="Europe"/>
    <x v="10"/>
    <s v="Manchester"/>
    <s v="Non-Profit"/>
    <s v="Marketplace"/>
    <s v="L. Okafor"/>
    <x v="0"/>
    <x v="566"/>
    <n v="1389.46"/>
    <n v="1784.7"/>
    <n v="0.14599999999999999"/>
    <n v="33"/>
    <n v="50296.415399999998"/>
    <n v="45852.18"/>
    <n v="4444.2353999999978"/>
    <n v="8.8360877503011831E-2"/>
  </r>
  <r>
    <s v="ORD-2024-942981"/>
    <x v="440"/>
    <d v="2024-11-08T00:00:00"/>
    <n v="30"/>
    <s v="QUARTER 4"/>
    <s v="Europe"/>
    <x v="10"/>
    <s v="Manchester"/>
    <s v="Small Business"/>
    <s v="Retail"/>
    <s v="J. Njeri"/>
    <x v="0"/>
    <x v="567"/>
    <n v="343.85"/>
    <n v="538.04"/>
    <n v="0.13900000000000001"/>
    <n v="5"/>
    <n v="2316.2621999999997"/>
    <n v="1719.25"/>
    <n v="597.01219999999967"/>
    <n v="0.25774810813732563"/>
  </r>
  <r>
    <s v="ORD-2025-960931"/>
    <x v="23"/>
    <d v="2023-07-08T00:00:00"/>
    <n v="7"/>
    <s v="QUARTER 3"/>
    <s v="Europe"/>
    <x v="11"/>
    <s v="Frankfurt"/>
    <s v="Small Business"/>
    <s v="Distributor"/>
    <s v="N. Brown"/>
    <x v="6"/>
    <x v="568"/>
    <n v="460.21"/>
    <n v="1139.1500000000001"/>
    <n v="0.115"/>
    <n v="14"/>
    <n v="14114.068500000001"/>
    <n v="6442.94"/>
    <n v="7671.1285000000016"/>
    <n v="0.54350937151821255"/>
  </r>
  <r>
    <s v="ORD-2024-792137"/>
    <x v="441"/>
    <d v="2025-06-27T00:00:00"/>
    <n v="26"/>
    <s v="QUARTER 2"/>
    <s v="Europe"/>
    <x v="11"/>
    <s v="Munich"/>
    <s v="Consumer"/>
    <s v="Direct"/>
    <s v="E. Garcia"/>
    <x v="6"/>
    <x v="569"/>
    <n v="1362.31"/>
    <n v="3294.57"/>
    <n v="0.113"/>
    <n v="7"/>
    <n v="20455.985130000001"/>
    <n v="9536.17"/>
    <n v="10919.815130000001"/>
    <n v="0.5338200561157721"/>
  </r>
  <r>
    <s v="ORD-2023-363031"/>
    <x v="441"/>
    <d v="2025-06-06T00:00:00"/>
    <n v="5"/>
    <s v="QUARTER 2"/>
    <s v="Europe"/>
    <x v="9"/>
    <s v="Paris"/>
    <s v="Consumer"/>
    <s v="Retail"/>
    <s v="G. Dubois"/>
    <x v="0"/>
    <x v="570"/>
    <n v="379.45"/>
    <n v="742.23"/>
    <n v="0.09"/>
    <n v="13"/>
    <n v="8780.5809000000008"/>
    <n v="4932.8499999999995"/>
    <n v="3847.7309000000014"/>
    <n v="0.43820915083192286"/>
  </r>
  <r>
    <s v="ORD-2024-851993"/>
    <x v="442"/>
    <d v="2023-02-03T00:00:00"/>
    <n v="15"/>
    <s v="QUARTER 1"/>
    <s v="Europe"/>
    <x v="10"/>
    <s v="London"/>
    <s v="Enterprise"/>
    <s v="Direct"/>
    <s v="G. Dubois"/>
    <x v="5"/>
    <x v="571"/>
    <n v="873.06"/>
    <n v="2101.5500000000002"/>
    <n v="6.6000000000000003E-2"/>
    <n v="10"/>
    <n v="19628.476999999999"/>
    <n v="8730.5999999999985"/>
    <n v="10897.877"/>
    <n v="0.55520746719167269"/>
  </r>
  <r>
    <s v="ORD-2023-455933"/>
    <x v="322"/>
    <d v="2024-01-02T00:00:00"/>
    <n v="26"/>
    <s v="QUARTER 4"/>
    <s v="Europe"/>
    <x v="11"/>
    <s v="Frankfurt"/>
    <s v="Enterprise"/>
    <s v="Marketplace"/>
    <s v="E. Garcia"/>
    <x v="0"/>
    <x v="572"/>
    <n v="1071.99"/>
    <n v="2397.3000000000002"/>
    <n v="6.2E-2"/>
    <n v="18"/>
    <n v="40476.013200000001"/>
    <n v="19295.82"/>
    <n v="21180.193200000002"/>
    <n v="0.52327765324476183"/>
  </r>
  <r>
    <s v="ORD-2025-487025"/>
    <x v="443"/>
    <d v="2023-09-22T00:00:00"/>
    <n v="30"/>
    <s v="QUARTER 3"/>
    <s v="Europe"/>
    <x v="10"/>
    <s v="London"/>
    <s v="Consumer"/>
    <s v="Distributor"/>
    <s v="O. Wang"/>
    <x v="5"/>
    <x v="573"/>
    <n v="209.81"/>
    <n v="523"/>
    <n v="5.8999999999999997E-2"/>
    <n v="15"/>
    <n v="7382.1450000000004"/>
    <n v="3147.15"/>
    <n v="4234.9950000000008"/>
    <n v="0.57368082041195356"/>
  </r>
  <r>
    <s v="ORD-2024-837651"/>
    <x v="444"/>
    <d v="2023-10-21T00:00:00"/>
    <n v="0"/>
    <s v="QUARTER 4"/>
    <s v="Europe"/>
    <x v="10"/>
    <s v="Manchester"/>
    <s v="Enterprise"/>
    <s v="Marketplace"/>
    <s v="J. Njeri"/>
    <x v="3"/>
    <x v="574"/>
    <n v="384.19"/>
    <n v="278.35000000000002"/>
    <n v="5.6000000000000001E-2"/>
    <n v="10"/>
    <n v="2627.6239999999998"/>
    <n v="3841.9"/>
    <n v="-1214.2760000000003"/>
    <n v="-0.46211938998882657"/>
  </r>
  <r>
    <s v="ORD-2023-867175"/>
    <x v="373"/>
    <d v="2025-05-19T00:00:00"/>
    <n v="21"/>
    <s v="QUARTER 2"/>
    <s v="Europe"/>
    <x v="11"/>
    <s v="Berlin"/>
    <s v="Corporate"/>
    <s v="Direct"/>
    <s v="B. Chen"/>
    <x v="2"/>
    <x v="575"/>
    <n v="350.76"/>
    <n v="492.18"/>
    <n v="5.2999999999999999E-2"/>
    <n v="11"/>
    <n v="5127.0390600000001"/>
    <n v="3858.3599999999997"/>
    <n v="1268.6790600000004"/>
    <n v="0.24744868239798437"/>
  </r>
  <r>
    <s v="ORD-2023-755337"/>
    <x v="445"/>
    <d v="2024-10-24T00:00:00"/>
    <n v="11"/>
    <s v="QUARTER 4"/>
    <s v="Europe"/>
    <x v="9"/>
    <s v="Paris"/>
    <s v="Education"/>
    <s v="Marketplace"/>
    <s v="F. Müller"/>
    <x v="0"/>
    <x v="576"/>
    <n v="816.7"/>
    <n v="1010.75"/>
    <n v="4.7E-2"/>
    <n v="43"/>
    <n v="41419.524249999995"/>
    <n v="35118.1"/>
    <n v="6301.4242499999964"/>
    <n v="0.15213656757537472"/>
  </r>
  <r>
    <s v="ORD-2025-944081"/>
    <x v="191"/>
    <d v="2025-04-12T00:00:00"/>
    <n v="3"/>
    <s v="QUARTER 2"/>
    <s v="Europe"/>
    <x v="9"/>
    <s v="Lyon"/>
    <s v="Small Business"/>
    <m/>
    <s v="H. Kim"/>
    <x v="3"/>
    <x v="577"/>
    <n v="86.68"/>
    <n v="213.32"/>
    <n v="3.7999999999999999E-2"/>
    <n v="8"/>
    <n v="1641.7107199999998"/>
    <n v="693.44"/>
    <n v="948.27071999999976"/>
    <n v="0.57761133459614611"/>
  </r>
  <r>
    <s v="ORD-2023-868734"/>
    <x v="69"/>
    <d v="2023-04-27T00:00:00"/>
    <n v="21"/>
    <s v="QUARTER 2"/>
    <s v="Europe"/>
    <x v="10"/>
    <s v="Manchester"/>
    <s v="Enterprise"/>
    <s v="Distributor"/>
    <s v="I. Johnson"/>
    <x v="4"/>
    <x v="578"/>
    <n v="1084.79"/>
    <n v="2484.9899999999998"/>
    <n v="3.4000000000000002E-2"/>
    <n v="18"/>
    <n v="43209.006119999991"/>
    <n v="19526.22"/>
    <n v="23682.78611999999"/>
    <n v="0.54809837685755114"/>
  </r>
  <r>
    <s v="ORD-2025-673091"/>
    <x v="446"/>
    <d v="2024-03-09T00:00:00"/>
    <n v="13"/>
    <s v="QUARTER 1"/>
    <s v="Europe"/>
    <x v="9"/>
    <s v="Marseille"/>
    <s v="Small Business"/>
    <s v="Direct"/>
    <s v="E. Garcia"/>
    <x v="3"/>
    <x v="579"/>
    <n v="322.44"/>
    <n v="395.61"/>
    <n v="0"/>
    <n v="34"/>
    <n v="13450.74"/>
    <n v="10962.96"/>
    <n v="2487.7800000000007"/>
    <n v="0.18495487980586947"/>
  </r>
  <r>
    <s v="ORD-2023-422918"/>
    <x v="13"/>
    <d v="2023-03-20T00:00:00"/>
    <n v="20"/>
    <s v="QUARTER 1"/>
    <s v="Europe"/>
    <x v="11"/>
    <s v="Berlin"/>
    <s v="Small Business"/>
    <s v="Marketplace"/>
    <s v="H. Kim"/>
    <x v="6"/>
    <x v="580"/>
    <n v="1200.78"/>
    <n v="2001.17"/>
    <n v="0.29199999999999998"/>
    <n v="18"/>
    <n v="25502.910479999999"/>
    <n v="21614.04"/>
    <n v="3888.8704799999978"/>
    <n v="0.15248732034132906"/>
  </r>
  <r>
    <s v="ORD-2023-290279"/>
    <x v="447"/>
    <d v="2023-06-16T00:00:00"/>
    <n v="2"/>
    <s v="QUARTER 2"/>
    <s v="Europe"/>
    <x v="10"/>
    <s v="Manchester"/>
    <s v="Non-Profit"/>
    <s v="Distributor"/>
    <s v="K. Singh"/>
    <x v="0"/>
    <x v="478"/>
    <n v="357.36"/>
    <n v="703.62"/>
    <n v="0.25700000000000001"/>
    <n v="20"/>
    <n v="10455.7932"/>
    <n v="7147.2000000000007"/>
    <n v="3308.5931999999993"/>
    <n v="0.31643636563125593"/>
  </r>
  <r>
    <s v="ORD-2023-944052"/>
    <x v="43"/>
    <d v="2025-09-26T00:00:00"/>
    <n v="12"/>
    <s v="QUARTER 3"/>
    <s v="Europe"/>
    <x v="10"/>
    <s v="London"/>
    <s v="Small Business"/>
    <s v="Distributor"/>
    <s v="N. Brown"/>
    <x v="1"/>
    <x v="581"/>
    <n v="425.15"/>
    <n v="885.92"/>
    <n v="0.23899999999999999"/>
    <n v="13"/>
    <n v="8764.4065599999994"/>
    <n v="5526.95"/>
    <n v="3237.4565599999996"/>
    <n v="0.3693868532725848"/>
  </r>
  <r>
    <s v="ORD-2025-947929"/>
    <x v="441"/>
    <d v="2025-06-05T00:00:00"/>
    <n v="4"/>
    <s v="QUARTER 2"/>
    <s v="Europe"/>
    <x v="11"/>
    <s v="Munich"/>
    <s v="Enterprise"/>
    <s v="Retail"/>
    <s v="M. Rossi"/>
    <x v="0"/>
    <x v="582"/>
    <n v="1171.42"/>
    <n v="2187.8000000000002"/>
    <n v="0.23"/>
    <n v="15"/>
    <n v="25269.09"/>
    <n v="17571.300000000003"/>
    <n v="7697.7899999999972"/>
    <n v="0.30463265594447592"/>
  </r>
  <r>
    <s v="ORD-2023-375011"/>
    <x v="444"/>
    <d v="2023-11-09T00:00:00"/>
    <n v="19"/>
    <s v="QUARTER 4"/>
    <s v="Europe"/>
    <x v="10"/>
    <s v="London"/>
    <s v="Non-Profit"/>
    <s v="Direct"/>
    <s v="A. Patel"/>
    <x v="5"/>
    <x v="583"/>
    <n v="1142.48"/>
    <n v="2105.5300000000002"/>
    <n v="0.20699999999999999"/>
    <n v="14"/>
    <n v="23375.594060000003"/>
    <n v="15994.720000000001"/>
    <n v="7380.8740600000019"/>
    <n v="0.31575129346680658"/>
  </r>
  <r>
    <s v="ORD-2023-888140"/>
    <x v="332"/>
    <d v="2025-07-05T00:00:00"/>
    <n v="8"/>
    <s v="QUARTER 2"/>
    <s v="Europe"/>
    <x v="11"/>
    <s v="Munich"/>
    <s v="Small Business"/>
    <s v="Marketplace"/>
    <s v="G. Dubois"/>
    <x v="3"/>
    <x v="584"/>
    <n v="314.93"/>
    <n v="687.95"/>
    <n v="0.20499999999999999"/>
    <n v="8"/>
    <n v="4375.3620000000001"/>
    <n v="2519.44"/>
    <n v="1855.922"/>
    <n v="0.424175645352316"/>
  </r>
  <r>
    <s v="ORD-2025-184754"/>
    <x v="214"/>
    <d v="2023-05-07T00:00:00"/>
    <n v="18"/>
    <s v="QUARTER 2"/>
    <s v="Europe"/>
    <x v="10"/>
    <s v="London"/>
    <s v="Non-Profit"/>
    <s v="Retail"/>
    <s v="H. Kim"/>
    <x v="1"/>
    <x v="585"/>
    <n v="516.96"/>
    <n v="745.38"/>
    <n v="0.19700000000000001"/>
    <n v="4"/>
    <n v="2394.1605599999998"/>
    <n v="2067.84"/>
    <n v="326.32055999999966"/>
    <n v="0.13629852794835101"/>
  </r>
  <r>
    <s v="ORD-2024-720756"/>
    <x v="167"/>
    <d v="2023-01-21T00:00:00"/>
    <n v="-1"/>
    <s v="QUARTER 1"/>
    <s v="Europe"/>
    <x v="11"/>
    <s v="Munich"/>
    <s v="Corporate"/>
    <s v="Direct"/>
    <s v="F. Müller"/>
    <x v="3"/>
    <x v="586"/>
    <n v="150.86000000000001"/>
    <n v="346.96"/>
    <n v="0.19600000000000001"/>
    <n v="8"/>
    <n v="2231.6467200000002"/>
    <n v="1206.8800000000001"/>
    <n v="1024.7667200000001"/>
    <n v="0.45919755614365343"/>
  </r>
  <r>
    <s v="ORD-2023-192324"/>
    <x v="448"/>
    <d v="2023-09-16T00:00:00"/>
    <n v="2"/>
    <s v="QUARTER 3"/>
    <s v="Europe"/>
    <x v="9"/>
    <s v="Lyon"/>
    <s v="Non-Profit"/>
    <s v="Marketplace"/>
    <s v="B. Chen"/>
    <x v="4"/>
    <x v="587"/>
    <n v="376.83"/>
    <n v="732.88"/>
    <n v="0.188"/>
    <n v="25"/>
    <n v="14877.464000000002"/>
    <n v="9420.75"/>
    <n v="5456.7140000000018"/>
    <n v="0.36677716040852132"/>
  </r>
  <r>
    <s v="ORD-2023-212701"/>
    <x v="171"/>
    <d v="2023-03-08T00:00:00"/>
    <n v="13"/>
    <s v="QUARTER 1"/>
    <s v="Europe"/>
    <x v="10"/>
    <s v="Manchester"/>
    <s v="Small Business"/>
    <s v="Distributor"/>
    <s v="C. Otieno"/>
    <x v="4"/>
    <x v="588"/>
    <n v="307.37"/>
    <n v="462.61"/>
    <n v="0.188"/>
    <n v="11"/>
    <n v="4132.0325200000007"/>
    <n v="3381.07"/>
    <n v="750.9625200000005"/>
    <n v="0.18174167709599739"/>
  </r>
  <r>
    <s v="ORD-2024-192263"/>
    <x v="449"/>
    <d v="2024-12-21T00:00:00"/>
    <n v="30"/>
    <s v="QUARTER 4"/>
    <s v="Europe"/>
    <x v="9"/>
    <s v="Marseille"/>
    <s v="Small Business"/>
    <s v="Retail"/>
    <s v="I. Johnson"/>
    <x v="3"/>
    <x v="589"/>
    <n v="1122.68"/>
    <n v="1997.19"/>
    <n v="0.186"/>
    <n v="3"/>
    <n v="4877.1379800000004"/>
    <n v="3368.04"/>
    <n v="1509.0979800000005"/>
    <n v="0.30942285951073306"/>
  </r>
  <r>
    <s v="ORD-2024-403664"/>
    <x v="450"/>
    <d v="2025-01-12T00:00:00"/>
    <n v="14"/>
    <s v="QUARTER 4"/>
    <s v="Europe"/>
    <x v="10"/>
    <s v="Manchester"/>
    <s v="Corporate"/>
    <s v="Distributor"/>
    <s v="B. Chen"/>
    <x v="3"/>
    <x v="590"/>
    <n v="1399.72"/>
    <n v="3149.21"/>
    <n v="0.185"/>
    <n v="12"/>
    <n v="30799.273800000003"/>
    <n v="16796.64"/>
    <n v="14002.633800000003"/>
    <n v="0.45464168703873797"/>
  </r>
  <r>
    <s v="ORD-2024-474999"/>
    <x v="195"/>
    <d v="2025-01-02T00:00:00"/>
    <n v="6"/>
    <s v="QUARTER 4"/>
    <s v="Europe"/>
    <x v="11"/>
    <s v="Frankfurt"/>
    <s v="Education"/>
    <s v="Online"/>
    <s v="F. Müller"/>
    <x v="6"/>
    <x v="591"/>
    <n v="1391.99"/>
    <n v="3469.7"/>
    <n v="0.184"/>
    <n v="23"/>
    <n v="65119.329599999997"/>
    <n v="32015.77"/>
    <n v="33103.559599999993"/>
    <n v="0.50835227886006973"/>
  </r>
  <r>
    <s v="ORD-2023-472050"/>
    <x v="292"/>
    <d v="2024-08-08T00:00:00"/>
    <n v="30"/>
    <s v="QUARTER 3"/>
    <s v="Europe"/>
    <x v="9"/>
    <s v="Marseille"/>
    <s v="Corporate"/>
    <s v="Direct"/>
    <s v="J. Njeri"/>
    <x v="0"/>
    <x v="592"/>
    <n v="1062.3800000000001"/>
    <n v="1503.96"/>
    <n v="0.18"/>
    <n v="6"/>
    <n v="7399.4832000000006"/>
    <n v="6374.2800000000007"/>
    <n v="1025.2031999999999"/>
    <n v="0.13855064905073369"/>
  </r>
  <r>
    <s v="ORD-2025-537785"/>
    <x v="358"/>
    <d v="2025-08-14T00:00:00"/>
    <n v="9"/>
    <s v="QUARTER 3"/>
    <s v="Europe"/>
    <x v="10"/>
    <s v="London"/>
    <s v="Non-Profit"/>
    <s v="Distributor"/>
    <s v="E. Garcia"/>
    <x v="0"/>
    <x v="593"/>
    <n v="41.76"/>
    <n v="45.19"/>
    <n v="0.17899999999999999"/>
    <n v="23"/>
    <n v="853.32276999999988"/>
    <n v="960.4799999999999"/>
    <n v="-107.15723000000003"/>
    <n v="-0.12557643340514638"/>
  </r>
  <r>
    <s v="ORD-2023-619493"/>
    <x v="426"/>
    <d v="2025-09-22T00:00:00"/>
    <n v="23"/>
    <s v="QUARTER 3"/>
    <s v="Europe"/>
    <x v="9"/>
    <s v="Marseille"/>
    <s v="Corporate"/>
    <s v="Distributor"/>
    <s v="E. Garcia"/>
    <x v="0"/>
    <x v="594"/>
    <n v="663.9"/>
    <n v="947.77"/>
    <n v="0.17399999999999999"/>
    <n v="15"/>
    <n v="11742.8703"/>
    <n v="9958.5"/>
    <n v="1784.3703000000005"/>
    <n v="0.1519535049280073"/>
  </r>
  <r>
    <s v="ORD-2024-878493"/>
    <x v="451"/>
    <d v="2025-07-08T00:00:00"/>
    <n v="16"/>
    <s v="QUARTER 2"/>
    <s v="Europe"/>
    <x v="10"/>
    <s v="London"/>
    <s v="Education"/>
    <s v="Distributor"/>
    <s v="A. Patel"/>
    <x v="2"/>
    <x v="595"/>
    <n v="892.73"/>
    <n v="979.84"/>
    <n v="0.17399999999999999"/>
    <n v="10"/>
    <n v="8093.4784"/>
    <n v="8927.2999999999993"/>
    <n v="-833.82159999999931"/>
    <n v="-0.10302388649112838"/>
  </r>
  <r>
    <s v="ORD-2023-569862"/>
    <x v="96"/>
    <d v="2023-03-18T00:00:00"/>
    <n v="4"/>
    <s v="QUARTER 1"/>
    <s v="Europe"/>
    <x v="11"/>
    <s v="Frankfurt"/>
    <s v="Enterprise"/>
    <s v="Distributor"/>
    <s v="A. Patel"/>
    <x v="0"/>
    <x v="596"/>
    <n v="472.33"/>
    <n v="360.34"/>
    <n v="0.16500000000000001"/>
    <n v="14"/>
    <n v="4212.3745999999992"/>
    <n v="6612.62"/>
    <n v="-2400.2454000000007"/>
    <n v="-0.56980815523861561"/>
  </r>
  <r>
    <s v="ORD-2023-382017"/>
    <x v="79"/>
    <d v="2023-05-13T00:00:00"/>
    <n v="29"/>
    <s v="QUARTER 2"/>
    <s v="Europe"/>
    <x v="11"/>
    <s v="Frankfurt"/>
    <s v="Consumer"/>
    <s v="Online"/>
    <s v="J. Njeri"/>
    <x v="4"/>
    <x v="597"/>
    <n v="1320.33"/>
    <n v="2645.23"/>
    <n v="0.155"/>
    <n v="25"/>
    <n v="55880.483749999999"/>
    <n v="33008.25"/>
    <n v="22872.233749999999"/>
    <n v="0.40930629470436536"/>
  </r>
  <r>
    <s v="ORD-2023-610470"/>
    <x v="240"/>
    <d v="2024-02-05T00:00:00"/>
    <n v="23"/>
    <s v="QUARTER 1"/>
    <s v="Europe"/>
    <x v="11"/>
    <s v="Frankfurt"/>
    <s v="Education"/>
    <s v="Direct"/>
    <s v="B. Chen"/>
    <x v="6"/>
    <x v="598"/>
    <n v="1017.93"/>
    <n v="1529.14"/>
    <n v="0.155"/>
    <n v="12"/>
    <n v="15505.479600000001"/>
    <n v="12215.16"/>
    <n v="3290.3196000000007"/>
    <n v="0.21220366508366503"/>
  </r>
  <r>
    <s v="ORD-2023-253245"/>
    <x v="452"/>
    <d v="2024-01-23T00:00:00"/>
    <n v="13"/>
    <s v="QUARTER 1"/>
    <s v="Europe"/>
    <x v="9"/>
    <s v="Marseille"/>
    <s v="Corporate"/>
    <s v="Online"/>
    <s v="A. Patel"/>
    <x v="4"/>
    <x v="599"/>
    <n v="720"/>
    <n v="907.59"/>
    <n v="0.154"/>
    <n v="10"/>
    <n v="7678.2113999999992"/>
    <n v="7200"/>
    <n v="478.21139999999923"/>
    <n v="6.2281614179052078E-2"/>
  </r>
  <r>
    <s v="ORD-2025-306251"/>
    <x v="405"/>
    <d v="2024-04-03T00:00:00"/>
    <n v="27"/>
    <s v="QUARTER 1"/>
    <s v="Europe"/>
    <x v="11"/>
    <s v="Frankfurt"/>
    <s v="Corporate"/>
    <s v="Distributor"/>
    <s v="M. Rossi"/>
    <x v="4"/>
    <x v="600"/>
    <n v="738.16"/>
    <n v="956.49"/>
    <n v="0.152"/>
    <n v="5"/>
    <n v="4055.5175999999997"/>
    <n v="3690.7999999999997"/>
    <n v="364.71759999999995"/>
    <n v="8.9931208780847108E-2"/>
  </r>
  <r>
    <s v="ORD-2024-580808"/>
    <x v="53"/>
    <d v="2025-07-14T00:00:00"/>
    <n v="20"/>
    <s v="QUARTER 2"/>
    <s v="Europe"/>
    <x v="11"/>
    <s v="Berlin"/>
    <s v="Corporate"/>
    <s v="Retail"/>
    <s v="O. Wang"/>
    <x v="5"/>
    <x v="601"/>
    <n v="385.08"/>
    <n v="893.19"/>
    <n v="0.151"/>
    <n v="8"/>
    <n v="6066.54648"/>
    <n v="3080.64"/>
    <n v="2985.9064800000001"/>
    <n v="0.49219213762621666"/>
  </r>
  <r>
    <s v="ORD-2024-353078"/>
    <x v="23"/>
    <d v="2023-07-11T00:00:00"/>
    <n v="10"/>
    <s v="QUARTER 3"/>
    <s v="Europe"/>
    <x v="9"/>
    <s v="Paris"/>
    <s v="Corporate"/>
    <s v="Marketplace"/>
    <s v="F. Müller"/>
    <x v="1"/>
    <x v="602"/>
    <n v="479.5"/>
    <n v="656.66"/>
    <n v="0.14899999999999999"/>
    <n v="14"/>
    <n v="7823.4472399999995"/>
    <n v="6713"/>
    <n v="1110.4472399999995"/>
    <n v="0.14193835606412289"/>
  </r>
  <r>
    <s v="ORD-2025-486350"/>
    <x v="453"/>
    <d v="2023-06-20T00:00:00"/>
    <n v="22"/>
    <s v="QUARTER 2"/>
    <s v="Europe"/>
    <x v="10"/>
    <s v="London"/>
    <s v="Small Business"/>
    <s v="Online"/>
    <s v="K. Singh"/>
    <x v="0"/>
    <x v="603"/>
    <n v="1295.3900000000001"/>
    <n v="2905.06"/>
    <n v="0.14799999999999999"/>
    <n v="8"/>
    <n v="19800.88896"/>
    <n v="10363.120000000001"/>
    <n v="9437.7689599999994"/>
    <n v="0.47663359857556614"/>
  </r>
  <r>
    <s v="ORD-2025-820255"/>
    <x v="454"/>
    <d v="2025-06-20T00:00:00"/>
    <n v="22"/>
    <s v="QUARTER 2"/>
    <s v="Europe"/>
    <x v="11"/>
    <s v="Berlin"/>
    <s v="Corporate"/>
    <s v="Marketplace"/>
    <s v="A. Patel"/>
    <x v="4"/>
    <x v="604"/>
    <n v="483.47"/>
    <n v="1135.43"/>
    <n v="0.14599999999999999"/>
    <n v="11"/>
    <n v="10666.229420000001"/>
    <n v="5318.17"/>
    <n v="5348.0594200000014"/>
    <n v="0.50140112399719983"/>
  </r>
  <r>
    <s v="ORD-2023-235230"/>
    <x v="315"/>
    <d v="2023-09-01T00:00:00"/>
    <n v="2"/>
    <s v="QUARTER 3"/>
    <s v="Europe"/>
    <x v="11"/>
    <s v="Munich"/>
    <s v="Corporate"/>
    <s v="Retail"/>
    <s v="N. Brown"/>
    <x v="1"/>
    <x v="605"/>
    <n v="44.42"/>
    <n v="41.9"/>
    <n v="0.14399999999999999"/>
    <n v="6"/>
    <n v="215.19839999999996"/>
    <n v="266.52"/>
    <n v="-51.321600000000018"/>
    <n v="-0.23848504449847224"/>
  </r>
  <r>
    <s v="ORD-2023-369160"/>
    <x v="455"/>
    <d v="2024-04-17T00:00:00"/>
    <n v="17"/>
    <s v="QUARTER 1"/>
    <s v="Europe"/>
    <x v="11"/>
    <s v="Frankfurt"/>
    <s v="Education"/>
    <s v="Distributor"/>
    <s v="H. Kim"/>
    <x v="3"/>
    <x v="606"/>
    <n v="1025.51"/>
    <n v="1436.54"/>
    <n v="0.13900000000000001"/>
    <n v="28"/>
    <n v="34632.106319999999"/>
    <n v="28714.28"/>
    <n v="5917.8263200000001"/>
    <n v="0.17087688127656453"/>
  </r>
  <r>
    <s v="ORD-2025-779659"/>
    <x v="200"/>
    <d v="2023-09-19T00:00:00"/>
    <n v="21"/>
    <s v="QUARTER 3"/>
    <s v="Europe"/>
    <x v="9"/>
    <s v="Lyon"/>
    <s v="Small Business"/>
    <s v="Online"/>
    <s v="B. Chen"/>
    <x v="4"/>
    <x v="607"/>
    <n v="784.46"/>
    <n v="1843.51"/>
    <n v="0.13800000000000001"/>
    <n v="23"/>
    <n v="36549.429260000004"/>
    <n v="18042.580000000002"/>
    <n v="18506.849260000003"/>
    <n v="0.50635125184441798"/>
  </r>
  <r>
    <s v="ORD-2024-496601"/>
    <x v="220"/>
    <d v="2023-07-12T00:00:00"/>
    <n v="27"/>
    <s v="QUARTER 2"/>
    <s v="Europe"/>
    <x v="10"/>
    <s v="Manchester"/>
    <s v="Consumer"/>
    <s v="Direct"/>
    <s v="I. Johnson"/>
    <x v="5"/>
    <x v="608"/>
    <n v="751.28"/>
    <n v="1111.8800000000001"/>
    <n v="0.13500000000000001"/>
    <n v="7"/>
    <n v="6732.4334000000008"/>
    <n v="5258.96"/>
    <n v="1473.4734000000008"/>
    <n v="0.21886193482433863"/>
  </r>
  <r>
    <s v="ORD-2025-125517"/>
    <x v="456"/>
    <d v="2023-06-28T00:00:00"/>
    <n v="23"/>
    <s v="QUARTER 2"/>
    <s v="Europe"/>
    <x v="10"/>
    <s v="Birmingham"/>
    <s v="Corporate"/>
    <s v="Online"/>
    <s v="K. Singh"/>
    <x v="4"/>
    <x v="609"/>
    <n v="605.82000000000005"/>
    <n v="771.12"/>
    <n v="0.13200000000000001"/>
    <n v="19"/>
    <n v="12717.311040000001"/>
    <n v="11510.580000000002"/>
    <n v="1206.7310399999988"/>
    <n v="9.4888851597986767E-2"/>
  </r>
  <r>
    <s v="ORD-2024-202166"/>
    <x v="67"/>
    <d v="2023-12-10T00:00:00"/>
    <n v="10"/>
    <s v="QUARTER 4"/>
    <s v="Europe"/>
    <x v="11"/>
    <s v="Munich"/>
    <s v="Small Business"/>
    <s v="Retail"/>
    <s v="F. Müller"/>
    <x v="6"/>
    <x v="610"/>
    <n v="174.74"/>
    <n v="415.96"/>
    <n v="0.125"/>
    <n v="21"/>
    <n v="7643.2649999999994"/>
    <n v="3669.54"/>
    <n v="3973.7249999999995"/>
    <n v="0.51989889137691803"/>
  </r>
  <r>
    <s v="ORD-2025-184082"/>
    <x v="2"/>
    <d v="2025-07-12T00:00:00"/>
    <n v="23"/>
    <s v="QUARTER 2"/>
    <s v="Europe"/>
    <x v="10"/>
    <s v="Unknown"/>
    <s v="Non-Profit"/>
    <s v="Retail"/>
    <s v="Unknown"/>
    <x v="1"/>
    <x v="611"/>
    <n v="801.24"/>
    <n v="1959.09"/>
    <n v="0.123"/>
    <n v="23"/>
    <n v="39516.804389999998"/>
    <n v="18428.52"/>
    <n v="21088.284389999997"/>
    <n v="0.53365358650651762"/>
  </r>
  <r>
    <s v="ORD-2025-281413"/>
    <x v="457"/>
    <d v="2023-04-26T00:00:00"/>
    <n v="0"/>
    <s v="QUARTER 2"/>
    <s v="Europe"/>
    <x v="9"/>
    <s v="Marseille"/>
    <s v="Consumer"/>
    <s v="Distributor"/>
    <s v="M. Rossi"/>
    <x v="0"/>
    <x v="612"/>
    <n v="81.489999999999995"/>
    <n v="113.08"/>
    <n v="0.121"/>
    <n v="5"/>
    <n v="496.98660000000001"/>
    <n v="407.45"/>
    <n v="89.536600000000021"/>
    <n v="0.18015898215364362"/>
  </r>
  <r>
    <s v="ORD-2024-906395"/>
    <x v="458"/>
    <d v="2024-04-09T00:00:00"/>
    <n v="30"/>
    <s v="QUARTER 1"/>
    <s v="Europe"/>
    <x v="9"/>
    <s v="Lyon"/>
    <s v="Corporate"/>
    <s v="Marketplace"/>
    <s v="I. Johnson"/>
    <x v="0"/>
    <x v="613"/>
    <n v="1176.56"/>
    <n v="1911.89"/>
    <n v="0.11899999999999999"/>
    <n v="20"/>
    <n v="33687.501800000005"/>
    <n v="23531.199999999997"/>
    <n v="10156.301800000008"/>
    <n v="0.30148575160892477"/>
  </r>
  <r>
    <s v="ORD-2023-479747"/>
    <x v="459"/>
    <d v="2023-12-16T00:00:00"/>
    <n v="14"/>
    <s v="QUARTER 4"/>
    <s v="Europe"/>
    <x v="11"/>
    <s v="Frankfurt"/>
    <s v="Education"/>
    <s v="Retail"/>
    <s v="N. Brown"/>
    <x v="3"/>
    <x v="614"/>
    <n v="879.08"/>
    <n v="1093.3900000000001"/>
    <n v="0.113"/>
    <n v="17"/>
    <n v="16487.22781"/>
    <n v="14944.36"/>
    <n v="1542.8678099999997"/>
    <n v="9.3579577341935186E-2"/>
  </r>
  <r>
    <s v="ORD-2023-368449"/>
    <x v="460"/>
    <d v="2024-09-07T00:00:00"/>
    <n v="28"/>
    <s v="QUARTER 3"/>
    <s v="Europe"/>
    <x v="9"/>
    <s v="Marseille"/>
    <s v="Non-Profit"/>
    <s v="Online"/>
    <s v="F. Müller"/>
    <x v="4"/>
    <x v="615"/>
    <n v="229.96"/>
    <n v="564.26"/>
    <n v="0.105"/>
    <n v="5"/>
    <n v="2525.0635000000002"/>
    <n v="1149.8"/>
    <n v="1375.2635000000002"/>
    <n v="0.54464511486542821"/>
  </r>
  <r>
    <s v="ORD-2023-867285"/>
    <x v="461"/>
    <d v="2023-04-17T00:00:00"/>
    <n v="5"/>
    <s v="QUARTER 2"/>
    <s v="Europe"/>
    <x v="9"/>
    <s v="Lyon"/>
    <s v="Enterprise"/>
    <s v="Retail"/>
    <s v="E. Garcia"/>
    <x v="3"/>
    <x v="616"/>
    <n v="1087.81"/>
    <n v="2323.87"/>
    <n v="9.4E-2"/>
    <n v="13"/>
    <n v="27370.540859999997"/>
    <n v="14141.529999999999"/>
    <n v="13229.010859999999"/>
    <n v="0.48333026839572651"/>
  </r>
  <r>
    <s v="ORD-2024-212990"/>
    <x v="462"/>
    <d v="2023-08-22T00:00:00"/>
    <n v="14"/>
    <s v="QUARTER 3"/>
    <s v="Europe"/>
    <x v="10"/>
    <s v="Birmingham"/>
    <s v="Non-Profit"/>
    <s v="Marketplace"/>
    <s v="N. Brown"/>
    <x v="3"/>
    <x v="617"/>
    <n v="446.69"/>
    <n v="967.25"/>
    <n v="9.4E-2"/>
    <n v="10"/>
    <n v="8763.2849999999999"/>
    <n v="4466.8999999999996"/>
    <n v="4296.3850000000002"/>
    <n v="0.49027105702941309"/>
  </r>
  <r>
    <s v="ORD-2023-799597"/>
    <x v="463"/>
    <d v="2024-05-16T00:00:00"/>
    <n v="6"/>
    <s v="QUARTER 2"/>
    <s v="Europe"/>
    <x v="10"/>
    <s v="Birmingham"/>
    <s v="Non-Profit"/>
    <s v="Marketplace"/>
    <s v="G. Dubois"/>
    <x v="6"/>
    <x v="618"/>
    <n v="210.76"/>
    <n v="221.58"/>
    <n v="8.8999999999999996E-2"/>
    <n v="5"/>
    <n v="1009.2969000000002"/>
    <n v="1053.8"/>
    <n v="-44.50309999999979"/>
    <n v="-4.4093170205912434E-2"/>
  </r>
  <r>
    <s v="ORD-2024-165942"/>
    <x v="464"/>
    <d v="2023-01-29T00:00:00"/>
    <n v="19"/>
    <s v="QUARTER 1"/>
    <s v="Europe"/>
    <x v="9"/>
    <s v="Lyon"/>
    <s v="Non-Profit"/>
    <s v="Distributor"/>
    <s v="D. Smith"/>
    <x v="6"/>
    <x v="619"/>
    <n v="401.66"/>
    <n v="772.09"/>
    <n v="8.8999999999999996E-2"/>
    <n v="14"/>
    <n v="9847.2358600000007"/>
    <n v="5623.2400000000007"/>
    <n v="4223.99586"/>
    <n v="0.42895244107619046"/>
  </r>
  <r>
    <s v="ORD-2023-727290"/>
    <x v="127"/>
    <d v="2025-02-27T00:00:00"/>
    <n v="12"/>
    <s v="QUARTER 1"/>
    <s v="Europe"/>
    <x v="9"/>
    <s v="Lyon"/>
    <s v="Non-Profit"/>
    <s v="Marketplace"/>
    <s v="K. Singh"/>
    <x v="5"/>
    <x v="620"/>
    <n v="1027.26"/>
    <n v="2200.41"/>
    <n v="8.7999999999999995E-2"/>
    <n v="6"/>
    <n v="12040.64352"/>
    <n v="6163.5599999999995"/>
    <n v="5877.0835200000001"/>
    <n v="0.48810377204822358"/>
  </r>
  <r>
    <s v="ORD-2024-442776"/>
    <x v="135"/>
    <d v="2025-07-12T00:00:00"/>
    <n v="27"/>
    <s v="QUARTER 2"/>
    <s v="Europe"/>
    <x v="9"/>
    <s v="Marseille"/>
    <s v="Consumer"/>
    <s v="Marketplace"/>
    <s v="C. Otieno"/>
    <x v="5"/>
    <x v="621"/>
    <n v="318.83"/>
    <n v="699.5"/>
    <n v="0.08"/>
    <n v="13"/>
    <n v="8366.02"/>
    <n v="4144.79"/>
    <n v="4221.2300000000005"/>
    <n v="0.50456848059172699"/>
  </r>
  <r>
    <s v="ORD-2023-576840"/>
    <x v="273"/>
    <d v="2023-12-13T00:00:00"/>
    <n v="24"/>
    <s v="QUARTER 4"/>
    <s v="Europe"/>
    <x v="9"/>
    <s v="Lyon"/>
    <s v="Non-Profit"/>
    <s v="Online"/>
    <s v="H. Kim"/>
    <x v="3"/>
    <x v="622"/>
    <n v="1297.42"/>
    <n v="2742.97"/>
    <n v="6.9000000000000006E-2"/>
    <n v="9"/>
    <n v="22983.34563"/>
    <n v="11676.78"/>
    <n v="11306.565629999999"/>
    <n v="0.49194602961727291"/>
  </r>
  <r>
    <s v="ORD-2023-884625"/>
    <x v="465"/>
    <d v="2023-03-12T00:00:00"/>
    <n v="21"/>
    <s v="QUARTER 1"/>
    <s v="Europe"/>
    <x v="11"/>
    <s v="Berlin"/>
    <s v="Small Business"/>
    <s v="Distributor"/>
    <s v="L. Okafor"/>
    <x v="3"/>
    <x v="623"/>
    <n v="1234.81"/>
    <n v="2055.2399999999998"/>
    <n v="5.2999999999999999E-2"/>
    <n v="44"/>
    <n v="85637.740319999997"/>
    <n v="54331.64"/>
    <n v="31306.100319999998"/>
    <n v="0.36556429680441616"/>
  </r>
  <r>
    <s v="ORD-2024-635626"/>
    <x v="379"/>
    <d v="2024-09-19T00:00:00"/>
    <n v="23"/>
    <s v="QUARTER 3"/>
    <s v="Europe"/>
    <x v="11"/>
    <s v="Berlin"/>
    <s v="Small Business"/>
    <s v="Distributor"/>
    <s v="D. Smith"/>
    <x v="3"/>
    <x v="624"/>
    <n v="1024.01"/>
    <n v="1580.97"/>
    <n v="3.6999999999999998E-2"/>
    <n v="27"/>
    <n v="41106.800970000004"/>
    <n v="27648.27"/>
    <n v="13458.530970000003"/>
    <n v="0.3274039976942531"/>
  </r>
  <r>
    <s v="ORD-2024-690270"/>
    <x v="425"/>
    <d v="2025-04-10T00:00:00"/>
    <n v="6"/>
    <s v="QUARTER 2"/>
    <s v="Europe"/>
    <x v="10"/>
    <s v="Birmingham"/>
    <s v="Non-Profit"/>
    <s v="Marketplace"/>
    <s v="N. Brown"/>
    <x v="4"/>
    <x v="625"/>
    <n v="290.14"/>
    <n v="250.73"/>
    <n v="3.4000000000000002E-2"/>
    <n v="17"/>
    <n v="4117.4880599999997"/>
    <n v="4932.38"/>
    <n v="-814.89194000000043"/>
    <n v="-0.19790997038131072"/>
  </r>
  <r>
    <s v="ORD-2025-323492"/>
    <x v="466"/>
    <d v="2023-12-06T00:00:00"/>
    <n v="21"/>
    <s v="QUARTER 4"/>
    <s v="Europe"/>
    <x v="10"/>
    <s v="Manchester"/>
    <s v="Education"/>
    <s v="Online"/>
    <s v="H. Kim"/>
    <x v="5"/>
    <x v="626"/>
    <n v="1184.99"/>
    <n v="1154.3399999999999"/>
    <n v="2.8000000000000001E-2"/>
    <n v="5"/>
    <n v="5610.0923999999995"/>
    <n v="5924.95"/>
    <n v="-314.85760000000028"/>
    <n v="-5.6123424990290764E-2"/>
  </r>
  <r>
    <s v="ORD-2024-105586"/>
    <x v="221"/>
    <d v="2023-04-19T00:00:00"/>
    <n v="3"/>
    <s v="QUARTER 2"/>
    <s v="Europe"/>
    <x v="11"/>
    <s v="Munich"/>
    <s v="Corporate"/>
    <s v="Marketplace"/>
    <s v="B. Chen"/>
    <x v="5"/>
    <x v="627"/>
    <n v="553.61"/>
    <n v="699.47"/>
    <n v="0.02"/>
    <n v="33"/>
    <n v="22620.859800000002"/>
    <n v="18269.13"/>
    <n v="4351.729800000001"/>
    <n v="0.19237685209472014"/>
  </r>
  <r>
    <s v="ORD-2024-211453"/>
    <x v="467"/>
    <d v="2024-04-24T00:00:00"/>
    <n v="20"/>
    <s v="QUARTER 2"/>
    <s v="Europe"/>
    <x v="11"/>
    <s v="Frankfurt"/>
    <s v="Non-Profit"/>
    <s v="Retail"/>
    <s v="O. Wang"/>
    <x v="5"/>
    <x v="628"/>
    <n v="683.42"/>
    <n v="951.51"/>
    <n v="0"/>
    <n v="14"/>
    <n v="13321.14"/>
    <n v="9567.8799999999992"/>
    <n v="3753.26"/>
    <n v="0.28175216235247136"/>
  </r>
  <r>
    <s v="ORD-2025-703623"/>
    <x v="216"/>
    <d v="2024-09-07T00:00:00"/>
    <n v="19"/>
    <s v="QUARTER 3"/>
    <s v="Europe"/>
    <x v="9"/>
    <s v="Lyon"/>
    <s v="Corporate"/>
    <s v="Distributor"/>
    <s v="J. Njeri"/>
    <x v="0"/>
    <x v="629"/>
    <n v="297.58999999999997"/>
    <n v="666.41"/>
    <n v="0"/>
    <n v="10"/>
    <n v="6664.0999999999995"/>
    <n v="2975.8999999999996"/>
    <n v="3688.2"/>
    <n v="0.55344307558409989"/>
  </r>
  <r>
    <m/>
    <x v="468"/>
    <m/>
    <m/>
    <m/>
    <m/>
    <x v="12"/>
    <m/>
    <m/>
    <m/>
    <m/>
    <x v="7"/>
    <x v="630"/>
    <m/>
    <m/>
    <m/>
    <m/>
    <m/>
    <m/>
    <m/>
    <m/>
  </r>
  <r>
    <m/>
    <x v="468"/>
    <m/>
    <m/>
    <m/>
    <m/>
    <x v="12"/>
    <m/>
    <m/>
    <m/>
    <m/>
    <x v="7"/>
    <x v="631"/>
    <n v="1311.0455379746829"/>
    <m/>
    <m/>
    <m/>
    <m/>
    <m/>
    <m/>
    <m/>
  </r>
  <r>
    <m/>
    <x v="468"/>
    <m/>
    <m/>
    <m/>
    <m/>
    <x v="12"/>
    <m/>
    <m/>
    <m/>
    <m/>
    <x v="7"/>
    <x v="632"/>
    <n v="804.08999999999992"/>
    <m/>
    <m/>
    <m/>
    <m/>
    <m/>
    <m/>
    <m/>
  </r>
  <r>
    <m/>
    <x v="468"/>
    <m/>
    <m/>
    <m/>
    <m/>
    <x v="12"/>
    <m/>
    <m/>
    <m/>
    <m/>
    <x v="7"/>
    <x v="630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A2061-3264-4D07-BF02-A244CC73DDFD}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45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0"/>
        <item x="6"/>
        <item x="3"/>
        <item x="1"/>
        <item x="2"/>
        <item x="4"/>
        <item x="7"/>
        <item t="default"/>
      </items>
    </pivotField>
    <pivotField axis="axisRow" showAll="0">
      <items count="634">
        <item x="401"/>
        <item x="69"/>
        <item x="626"/>
        <item x="304"/>
        <item x="86"/>
        <item x="322"/>
        <item x="303"/>
        <item x="573"/>
        <item x="394"/>
        <item x="620"/>
        <item x="9"/>
        <item x="168"/>
        <item x="627"/>
        <item x="550"/>
        <item x="498"/>
        <item x="32"/>
        <item x="98"/>
        <item x="269"/>
        <item x="371"/>
        <item x="522"/>
        <item x="255"/>
        <item x="323"/>
        <item x="162"/>
        <item x="8"/>
        <item x="116"/>
        <item x="368"/>
        <item x="565"/>
        <item x="101"/>
        <item x="496"/>
        <item x="267"/>
        <item x="202"/>
        <item x="243"/>
        <item x="571"/>
        <item x="336"/>
        <item x="608"/>
        <item x="277"/>
        <item x="68"/>
        <item x="541"/>
        <item x="123"/>
        <item x="7"/>
        <item x="10"/>
        <item x="178"/>
        <item x="181"/>
        <item x="325"/>
        <item x="306"/>
        <item x="120"/>
        <item x="560"/>
        <item x="253"/>
        <item x="134"/>
        <item x="494"/>
        <item x="52"/>
        <item x="15"/>
        <item x="209"/>
        <item x="22"/>
        <item x="529"/>
        <item x="479"/>
        <item x="138"/>
        <item x="227"/>
        <item x="628"/>
        <item x="536"/>
        <item x="288"/>
        <item x="266"/>
        <item x="435"/>
        <item x="157"/>
        <item x="360"/>
        <item x="128"/>
        <item x="118"/>
        <item x="319"/>
        <item x="546"/>
        <item x="621"/>
        <item x="528"/>
        <item x="601"/>
        <item x="217"/>
        <item x="88"/>
        <item x="139"/>
        <item x="583"/>
        <item x="215"/>
        <item x="156"/>
        <item x="125"/>
        <item x="104"/>
        <item x="476"/>
        <item x="291"/>
        <item x="338"/>
        <item x="78"/>
        <item x="103"/>
        <item x="408"/>
        <item x="333"/>
        <item x="57"/>
        <item x="631"/>
        <item x="457"/>
        <item x="567"/>
        <item x="337"/>
        <item x="355"/>
        <item x="224"/>
        <item x="129"/>
        <item x="314"/>
        <item x="25"/>
        <item x="190"/>
        <item x="572"/>
        <item x="218"/>
        <item x="551"/>
        <item x="366"/>
        <item x="249"/>
        <item x="488"/>
        <item x="271"/>
        <item x="11"/>
        <item x="194"/>
        <item x="0"/>
        <item x="548"/>
        <item x="297"/>
        <item x="180"/>
        <item x="459"/>
        <item x="558"/>
        <item x="186"/>
        <item x="362"/>
        <item x="175"/>
        <item x="354"/>
        <item x="469"/>
        <item x="90"/>
        <item x="61"/>
        <item x="570"/>
        <item x="582"/>
        <item x="77"/>
        <item x="356"/>
        <item x="106"/>
        <item x="62"/>
        <item x="343"/>
        <item x="612"/>
        <item x="140"/>
        <item x="576"/>
        <item x="164"/>
        <item x="467"/>
        <item x="87"/>
        <item x="348"/>
        <item x="594"/>
        <item x="629"/>
        <item x="141"/>
        <item x="370"/>
        <item x="478"/>
        <item x="592"/>
        <item x="126"/>
        <item x="206"/>
        <item x="593"/>
        <item x="324"/>
        <item x="365"/>
        <item x="361"/>
        <item x="127"/>
        <item x="422"/>
        <item x="328"/>
        <item x="44"/>
        <item x="426"/>
        <item x="417"/>
        <item x="351"/>
        <item x="433"/>
        <item x="132"/>
        <item x="495"/>
        <item x="329"/>
        <item x="275"/>
        <item x="503"/>
        <item x="613"/>
        <item x="28"/>
        <item x="566"/>
        <item x="383"/>
        <item x="315"/>
        <item x="102"/>
        <item x="18"/>
        <item x="451"/>
        <item x="603"/>
        <item x="447"/>
        <item x="216"/>
        <item x="6"/>
        <item x="596"/>
        <item x="173"/>
        <item x="105"/>
        <item x="477"/>
        <item x="296"/>
        <item x="72"/>
        <item x="242"/>
        <item x="172"/>
        <item x="618"/>
        <item x="505"/>
        <item x="56"/>
        <item x="307"/>
        <item x="71"/>
        <item x="569"/>
        <item x="136"/>
        <item x="108"/>
        <item x="461"/>
        <item x="63"/>
        <item x="51"/>
        <item x="387"/>
        <item x="257"/>
        <item x="347"/>
        <item x="147"/>
        <item x="376"/>
        <item x="179"/>
        <item x="491"/>
        <item x="411"/>
        <item x="540"/>
        <item x="92"/>
        <item x="524"/>
        <item x="14"/>
        <item x="65"/>
        <item x="517"/>
        <item x="268"/>
        <item x="470"/>
        <item x="580"/>
        <item x="563"/>
        <item x="23"/>
        <item x="434"/>
        <item x="443"/>
        <item x="210"/>
        <item x="619"/>
        <item x="135"/>
        <item x="568"/>
        <item x="450"/>
        <item x="610"/>
        <item x="153"/>
        <item x="167"/>
        <item x="555"/>
        <item x="458"/>
        <item x="344"/>
        <item x="341"/>
        <item x="480"/>
        <item x="250"/>
        <item x="234"/>
        <item x="112"/>
        <item x="321"/>
        <item x="19"/>
        <item x="219"/>
        <item x="259"/>
        <item x="340"/>
        <item x="211"/>
        <item x="107"/>
        <item x="144"/>
        <item x="45"/>
        <item x="151"/>
        <item x="43"/>
        <item x="55"/>
        <item x="83"/>
        <item x="230"/>
        <item x="407"/>
        <item x="591"/>
        <item x="305"/>
        <item x="378"/>
        <item x="91"/>
        <item x="262"/>
        <item x="527"/>
        <item x="364"/>
        <item x="37"/>
        <item x="421"/>
        <item x="203"/>
        <item x="97"/>
        <item x="557"/>
        <item x="492"/>
        <item x="504"/>
        <item x="137"/>
        <item x="543"/>
        <item x="598"/>
        <item x="473"/>
        <item x="632"/>
        <item x="53"/>
        <item x="506"/>
        <item x="113"/>
        <item x="442"/>
        <item x="375"/>
        <item x="386"/>
        <item x="472"/>
        <item x="526"/>
        <item x="448"/>
        <item x="464"/>
        <item x="502"/>
        <item x="385"/>
        <item x="4"/>
        <item x="40"/>
        <item x="406"/>
        <item x="586"/>
        <item x="285"/>
        <item x="538"/>
        <item x="279"/>
        <item x="397"/>
        <item x="226"/>
        <item x="389"/>
        <item x="616"/>
        <item x="273"/>
        <item x="579"/>
        <item x="231"/>
        <item x="66"/>
        <item x="622"/>
        <item x="415"/>
        <item x="561"/>
        <item x="487"/>
        <item x="166"/>
        <item x="614"/>
        <item x="232"/>
        <item x="286"/>
        <item x="400"/>
        <item x="170"/>
        <item x="73"/>
        <item x="21"/>
        <item x="330"/>
        <item x="176"/>
        <item x="553"/>
        <item x="449"/>
        <item x="293"/>
        <item x="402"/>
        <item x="409"/>
        <item x="189"/>
        <item x="577"/>
        <item x="287"/>
        <item x="247"/>
        <item x="283"/>
        <item x="41"/>
        <item x="339"/>
        <item x="143"/>
        <item x="244"/>
        <item x="163"/>
        <item x="42"/>
        <item x="208"/>
        <item x="590"/>
        <item x="174"/>
        <item x="623"/>
        <item x="423"/>
        <item x="223"/>
        <item x="79"/>
        <item x="530"/>
        <item x="150"/>
        <item x="54"/>
        <item x="200"/>
        <item x="617"/>
        <item x="309"/>
        <item x="490"/>
        <item x="584"/>
        <item x="184"/>
        <item x="159"/>
        <item x="589"/>
        <item x="145"/>
        <item x="89"/>
        <item x="379"/>
        <item x="606"/>
        <item x="318"/>
        <item x="574"/>
        <item x="95"/>
        <item x="160"/>
        <item x="359"/>
        <item x="468"/>
        <item x="327"/>
        <item x="545"/>
        <item x="419"/>
        <item x="171"/>
        <item x="298"/>
        <item x="516"/>
        <item x="507"/>
        <item x="413"/>
        <item x="624"/>
        <item x="554"/>
        <item x="191"/>
        <item x="276"/>
        <item x="177"/>
        <item x="270"/>
        <item x="50"/>
        <item x="110"/>
        <item x="384"/>
        <item x="281"/>
        <item x="393"/>
        <item x="199"/>
        <item x="466"/>
        <item x="395"/>
        <item x="462"/>
        <item x="312"/>
        <item x="500"/>
        <item x="289"/>
        <item x="585"/>
        <item x="456"/>
        <item x="48"/>
        <item x="552"/>
        <item x="70"/>
        <item x="282"/>
        <item x="489"/>
        <item x="332"/>
        <item x="381"/>
        <item x="80"/>
        <item x="535"/>
        <item x="392"/>
        <item x="188"/>
        <item x="432"/>
        <item x="155"/>
        <item x="252"/>
        <item x="220"/>
        <item x="238"/>
        <item x="290"/>
        <item x="182"/>
        <item x="482"/>
        <item x="99"/>
        <item x="508"/>
        <item x="201"/>
        <item x="308"/>
        <item x="444"/>
        <item x="121"/>
        <item x="486"/>
        <item x="149"/>
        <item x="35"/>
        <item x="1"/>
        <item x="537"/>
        <item x="260"/>
        <item x="284"/>
        <item x="185"/>
        <item x="142"/>
        <item x="429"/>
        <item x="3"/>
        <item x="521"/>
        <item x="292"/>
        <item x="611"/>
        <item x="335"/>
        <item x="602"/>
        <item x="463"/>
        <item x="485"/>
        <item x="345"/>
        <item x="437"/>
        <item x="133"/>
        <item x="350"/>
        <item x="74"/>
        <item x="405"/>
        <item x="352"/>
        <item x="436"/>
        <item x="294"/>
        <item x="205"/>
        <item x="556"/>
        <item x="518"/>
        <item x="81"/>
        <item x="310"/>
        <item x="581"/>
        <item x="265"/>
        <item x="198"/>
        <item x="399"/>
        <item x="396"/>
        <item x="13"/>
        <item x="481"/>
        <item x="388"/>
        <item x="420"/>
        <item x="605"/>
        <item x="222"/>
        <item x="410"/>
        <item x="27"/>
        <item x="82"/>
        <item x="24"/>
        <item x="369"/>
        <item x="84"/>
        <item x="46"/>
        <item x="525"/>
        <item x="195"/>
        <item x="261"/>
        <item x="131"/>
        <item x="512"/>
        <item x="58"/>
        <item x="373"/>
        <item x="575"/>
        <item x="183"/>
        <item x="313"/>
        <item x="342"/>
        <item x="513"/>
        <item x="301"/>
        <item x="367"/>
        <item x="295"/>
        <item x="263"/>
        <item x="418"/>
        <item x="353"/>
        <item x="539"/>
        <item x="109"/>
        <item x="380"/>
        <item x="75"/>
        <item x="446"/>
        <item x="152"/>
        <item x="398"/>
        <item x="76"/>
        <item x="258"/>
        <item x="193"/>
        <item x="154"/>
        <item x="197"/>
        <item x="60"/>
        <item x="187"/>
        <item x="431"/>
        <item x="47"/>
        <item x="595"/>
        <item x="225"/>
        <item x="549"/>
        <item x="278"/>
        <item x="455"/>
        <item x="441"/>
        <item x="64"/>
        <item x="562"/>
        <item x="349"/>
        <item x="382"/>
        <item x="254"/>
        <item x="452"/>
        <item x="299"/>
        <item x="374"/>
        <item x="67"/>
        <item x="17"/>
        <item x="34"/>
        <item x="122"/>
        <item x="403"/>
        <item x="237"/>
        <item x="241"/>
        <item x="2"/>
        <item x="465"/>
        <item x="12"/>
        <item x="358"/>
        <item x="280"/>
        <item x="119"/>
        <item x="169"/>
        <item x="29"/>
        <item x="497"/>
        <item x="20"/>
        <item x="533"/>
        <item x="471"/>
        <item x="445"/>
        <item x="483"/>
        <item x="264"/>
        <item x="16"/>
        <item x="26"/>
        <item x="39"/>
        <item x="564"/>
        <item x="317"/>
        <item x="440"/>
        <item x="520"/>
        <item x="474"/>
        <item x="424"/>
        <item x="439"/>
        <item x="430"/>
        <item x="509"/>
        <item x="130"/>
        <item x="615"/>
        <item x="165"/>
        <item x="235"/>
        <item x="251"/>
        <item x="542"/>
        <item x="334"/>
        <item x="100"/>
        <item x="531"/>
        <item x="346"/>
        <item x="96"/>
        <item x="416"/>
        <item x="212"/>
        <item x="499"/>
        <item x="412"/>
        <item x="256"/>
        <item x="514"/>
        <item x="49"/>
        <item x="31"/>
        <item x="146"/>
        <item x="213"/>
        <item x="414"/>
        <item x="453"/>
        <item x="117"/>
        <item x="523"/>
        <item x="609"/>
        <item x="214"/>
        <item x="114"/>
        <item x="425"/>
        <item x="331"/>
        <item x="559"/>
        <item x="587"/>
        <item x="229"/>
        <item x="391"/>
        <item x="85"/>
        <item x="38"/>
        <item x="204"/>
        <item x="493"/>
        <item x="115"/>
        <item x="236"/>
        <item x="511"/>
        <item x="428"/>
        <item x="460"/>
        <item x="475"/>
        <item x="547"/>
        <item x="427"/>
        <item x="233"/>
        <item x="532"/>
        <item x="94"/>
        <item x="207"/>
        <item x="363"/>
        <item x="515"/>
        <item x="534"/>
        <item x="404"/>
        <item x="519"/>
        <item x="5"/>
        <item x="316"/>
        <item x="245"/>
        <item x="33"/>
        <item x="372"/>
        <item x="240"/>
        <item x="161"/>
        <item x="302"/>
        <item x="158"/>
        <item x="454"/>
        <item x="93"/>
        <item x="599"/>
        <item x="484"/>
        <item x="600"/>
        <item x="597"/>
        <item x="59"/>
        <item x="607"/>
        <item x="124"/>
        <item x="36"/>
        <item x="588"/>
        <item x="357"/>
        <item x="272"/>
        <item x="192"/>
        <item x="320"/>
        <item x="311"/>
        <item x="377"/>
        <item x="501"/>
        <item x="228"/>
        <item x="625"/>
        <item x="510"/>
        <item x="274"/>
        <item x="390"/>
        <item x="578"/>
        <item x="248"/>
        <item x="30"/>
        <item x="326"/>
        <item x="111"/>
        <item x="300"/>
        <item x="196"/>
        <item x="544"/>
        <item x="148"/>
        <item x="604"/>
        <item x="239"/>
        <item x="438"/>
        <item x="246"/>
        <item x="221"/>
        <item x="63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</pivotFields>
  <rowFields count="2">
    <field x="11"/>
    <field x="12"/>
  </rowFields>
  <rowItems count="64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>
      <x v="1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>
      <x v="2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>
      <x v="3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>
      <x v="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>
      <x v="5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>
      <x v="6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>
      <x v="7"/>
    </i>
    <i r="1">
      <x v="88"/>
    </i>
    <i r="1">
      <x v="260"/>
    </i>
    <i r="1">
      <x v="632"/>
    </i>
    <i t="grand">
      <x/>
    </i>
  </rowItems>
  <colItems count="1">
    <i/>
  </colItems>
  <dataFields count="1">
    <dataField name="Sum of GrossRevenue" fld="17" showDataAs="percentOfCol" baseField="1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CB3EC-3F1F-428F-BB59-CDC05D823016}" name="PivotTable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51" firstHeaderRow="1" firstDataRow="1" firstDataCol="1"/>
  <pivotFields count="23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axis="axisRow" showAll="0">
      <items count="14">
        <item sd="0" x="4"/>
        <item x="5"/>
        <item x="6"/>
        <item x="9"/>
        <item x="11"/>
        <item x="7"/>
        <item x="8"/>
        <item x="0"/>
        <item x="2"/>
        <item x="1"/>
        <item x="10"/>
        <item x="3"/>
        <item x="12"/>
        <item t="default"/>
      </items>
    </pivotField>
    <pivotField showAll="0"/>
    <pivotField showAll="0"/>
    <pivotField showAll="0"/>
    <pivotField showAll="0"/>
    <pivotField showAll="0"/>
    <pivotField showAll="0">
      <items count="634">
        <item x="401"/>
        <item x="69"/>
        <item x="626"/>
        <item x="304"/>
        <item x="86"/>
        <item x="322"/>
        <item x="303"/>
        <item x="573"/>
        <item x="394"/>
        <item x="620"/>
        <item x="9"/>
        <item x="168"/>
        <item x="627"/>
        <item x="550"/>
        <item x="498"/>
        <item x="32"/>
        <item x="98"/>
        <item x="269"/>
        <item x="371"/>
        <item x="522"/>
        <item x="255"/>
        <item x="323"/>
        <item x="162"/>
        <item x="8"/>
        <item x="116"/>
        <item x="368"/>
        <item x="565"/>
        <item x="101"/>
        <item x="496"/>
        <item x="267"/>
        <item x="202"/>
        <item x="243"/>
        <item x="571"/>
        <item x="336"/>
        <item x="608"/>
        <item x="277"/>
        <item x="68"/>
        <item x="541"/>
        <item x="123"/>
        <item x="7"/>
        <item x="10"/>
        <item x="178"/>
        <item x="181"/>
        <item x="325"/>
        <item x="306"/>
        <item x="120"/>
        <item x="560"/>
        <item x="253"/>
        <item x="134"/>
        <item x="494"/>
        <item x="52"/>
        <item x="15"/>
        <item x="209"/>
        <item x="22"/>
        <item x="529"/>
        <item x="479"/>
        <item x="138"/>
        <item x="227"/>
        <item x="628"/>
        <item x="536"/>
        <item x="288"/>
        <item x="266"/>
        <item x="435"/>
        <item x="157"/>
        <item x="360"/>
        <item x="128"/>
        <item x="118"/>
        <item x="319"/>
        <item x="546"/>
        <item x="621"/>
        <item x="528"/>
        <item x="601"/>
        <item x="217"/>
        <item x="88"/>
        <item x="139"/>
        <item x="583"/>
        <item x="215"/>
        <item x="156"/>
        <item x="125"/>
        <item x="104"/>
        <item x="476"/>
        <item x="291"/>
        <item x="338"/>
        <item x="78"/>
        <item x="103"/>
        <item x="408"/>
        <item x="333"/>
        <item x="57"/>
        <item x="631"/>
        <item x="457"/>
        <item x="567"/>
        <item x="337"/>
        <item x="355"/>
        <item x="224"/>
        <item x="129"/>
        <item x="314"/>
        <item x="25"/>
        <item x="190"/>
        <item x="572"/>
        <item x="218"/>
        <item x="551"/>
        <item x="366"/>
        <item x="249"/>
        <item x="488"/>
        <item x="271"/>
        <item x="11"/>
        <item x="194"/>
        <item x="0"/>
        <item x="548"/>
        <item x="297"/>
        <item x="180"/>
        <item x="459"/>
        <item x="558"/>
        <item x="186"/>
        <item x="362"/>
        <item x="175"/>
        <item x="354"/>
        <item x="469"/>
        <item x="90"/>
        <item x="61"/>
        <item x="570"/>
        <item x="582"/>
        <item x="77"/>
        <item x="356"/>
        <item x="106"/>
        <item x="62"/>
        <item x="343"/>
        <item x="612"/>
        <item x="140"/>
        <item x="576"/>
        <item x="164"/>
        <item x="467"/>
        <item x="87"/>
        <item x="348"/>
        <item x="594"/>
        <item x="629"/>
        <item x="141"/>
        <item x="370"/>
        <item x="478"/>
        <item x="592"/>
        <item x="126"/>
        <item x="206"/>
        <item x="593"/>
        <item x="324"/>
        <item x="365"/>
        <item x="361"/>
        <item x="127"/>
        <item x="422"/>
        <item x="328"/>
        <item x="44"/>
        <item x="426"/>
        <item x="417"/>
        <item x="351"/>
        <item x="433"/>
        <item x="132"/>
        <item x="495"/>
        <item x="329"/>
        <item x="275"/>
        <item x="503"/>
        <item x="613"/>
        <item x="28"/>
        <item x="566"/>
        <item x="383"/>
        <item x="315"/>
        <item x="102"/>
        <item x="18"/>
        <item x="451"/>
        <item x="603"/>
        <item x="447"/>
        <item x="216"/>
        <item x="6"/>
        <item x="596"/>
        <item x="173"/>
        <item x="105"/>
        <item x="477"/>
        <item x="296"/>
        <item x="72"/>
        <item x="242"/>
        <item x="172"/>
        <item x="618"/>
        <item x="505"/>
        <item x="56"/>
        <item x="307"/>
        <item x="71"/>
        <item x="569"/>
        <item x="136"/>
        <item x="108"/>
        <item x="461"/>
        <item x="63"/>
        <item x="51"/>
        <item x="387"/>
        <item x="257"/>
        <item x="347"/>
        <item x="147"/>
        <item x="376"/>
        <item x="179"/>
        <item x="491"/>
        <item x="411"/>
        <item x="540"/>
        <item x="92"/>
        <item x="524"/>
        <item x="14"/>
        <item x="65"/>
        <item x="517"/>
        <item x="268"/>
        <item x="470"/>
        <item x="580"/>
        <item x="563"/>
        <item x="23"/>
        <item x="434"/>
        <item x="443"/>
        <item x="210"/>
        <item x="619"/>
        <item x="135"/>
        <item x="568"/>
        <item x="450"/>
        <item x="610"/>
        <item x="153"/>
        <item x="167"/>
        <item x="555"/>
        <item x="458"/>
        <item x="344"/>
        <item x="341"/>
        <item x="480"/>
        <item x="250"/>
        <item x="234"/>
        <item x="112"/>
        <item x="321"/>
        <item x="19"/>
        <item x="219"/>
        <item x="259"/>
        <item x="340"/>
        <item x="211"/>
        <item x="107"/>
        <item x="144"/>
        <item x="45"/>
        <item x="151"/>
        <item x="43"/>
        <item x="55"/>
        <item x="83"/>
        <item x="230"/>
        <item x="407"/>
        <item x="591"/>
        <item x="305"/>
        <item x="378"/>
        <item x="91"/>
        <item x="262"/>
        <item x="527"/>
        <item x="364"/>
        <item x="37"/>
        <item x="421"/>
        <item x="203"/>
        <item x="97"/>
        <item x="557"/>
        <item x="492"/>
        <item x="504"/>
        <item x="137"/>
        <item x="543"/>
        <item x="598"/>
        <item x="473"/>
        <item x="632"/>
        <item x="53"/>
        <item x="506"/>
        <item x="113"/>
        <item x="442"/>
        <item x="375"/>
        <item x="386"/>
        <item x="472"/>
        <item x="526"/>
        <item x="448"/>
        <item x="464"/>
        <item x="502"/>
        <item x="385"/>
        <item x="4"/>
        <item x="40"/>
        <item x="406"/>
        <item x="586"/>
        <item x="285"/>
        <item x="538"/>
        <item x="279"/>
        <item x="397"/>
        <item x="226"/>
        <item x="389"/>
        <item x="616"/>
        <item x="273"/>
        <item x="579"/>
        <item x="231"/>
        <item x="66"/>
        <item x="622"/>
        <item x="415"/>
        <item x="561"/>
        <item x="487"/>
        <item x="166"/>
        <item x="614"/>
        <item x="232"/>
        <item x="286"/>
        <item x="400"/>
        <item x="170"/>
        <item x="73"/>
        <item x="21"/>
        <item x="330"/>
        <item x="176"/>
        <item x="553"/>
        <item x="449"/>
        <item x="293"/>
        <item x="402"/>
        <item x="409"/>
        <item x="189"/>
        <item x="577"/>
        <item x="287"/>
        <item x="247"/>
        <item x="283"/>
        <item x="41"/>
        <item x="339"/>
        <item x="143"/>
        <item x="244"/>
        <item x="163"/>
        <item x="42"/>
        <item x="208"/>
        <item x="590"/>
        <item x="174"/>
        <item x="623"/>
        <item x="423"/>
        <item x="223"/>
        <item x="79"/>
        <item x="530"/>
        <item x="150"/>
        <item x="54"/>
        <item x="200"/>
        <item x="617"/>
        <item x="309"/>
        <item x="490"/>
        <item x="584"/>
        <item x="184"/>
        <item x="159"/>
        <item x="589"/>
        <item x="145"/>
        <item x="89"/>
        <item x="379"/>
        <item x="606"/>
        <item x="318"/>
        <item x="574"/>
        <item x="95"/>
        <item x="160"/>
        <item x="359"/>
        <item x="468"/>
        <item x="327"/>
        <item x="545"/>
        <item x="419"/>
        <item x="171"/>
        <item x="298"/>
        <item x="516"/>
        <item x="507"/>
        <item x="413"/>
        <item x="624"/>
        <item x="554"/>
        <item x="191"/>
        <item x="276"/>
        <item x="177"/>
        <item x="270"/>
        <item x="50"/>
        <item x="110"/>
        <item x="384"/>
        <item x="281"/>
        <item x="393"/>
        <item x="199"/>
        <item x="466"/>
        <item x="395"/>
        <item x="462"/>
        <item x="312"/>
        <item x="500"/>
        <item x="289"/>
        <item x="585"/>
        <item x="456"/>
        <item x="48"/>
        <item x="552"/>
        <item x="70"/>
        <item x="282"/>
        <item x="489"/>
        <item x="332"/>
        <item x="381"/>
        <item x="80"/>
        <item x="535"/>
        <item x="392"/>
        <item x="188"/>
        <item x="432"/>
        <item x="155"/>
        <item x="252"/>
        <item x="220"/>
        <item x="238"/>
        <item x="290"/>
        <item x="182"/>
        <item x="482"/>
        <item x="99"/>
        <item x="508"/>
        <item x="201"/>
        <item x="308"/>
        <item x="444"/>
        <item x="121"/>
        <item x="486"/>
        <item x="149"/>
        <item x="35"/>
        <item x="1"/>
        <item x="537"/>
        <item x="260"/>
        <item x="284"/>
        <item x="185"/>
        <item x="142"/>
        <item x="429"/>
        <item x="3"/>
        <item x="521"/>
        <item x="292"/>
        <item x="611"/>
        <item x="335"/>
        <item x="602"/>
        <item x="463"/>
        <item x="485"/>
        <item x="345"/>
        <item x="437"/>
        <item x="133"/>
        <item x="350"/>
        <item x="74"/>
        <item x="405"/>
        <item x="352"/>
        <item x="436"/>
        <item x="294"/>
        <item x="205"/>
        <item x="556"/>
        <item x="518"/>
        <item x="81"/>
        <item x="310"/>
        <item x="581"/>
        <item x="265"/>
        <item x="198"/>
        <item x="399"/>
        <item x="396"/>
        <item x="13"/>
        <item x="481"/>
        <item x="388"/>
        <item x="420"/>
        <item x="605"/>
        <item x="222"/>
        <item x="410"/>
        <item x="27"/>
        <item x="82"/>
        <item x="24"/>
        <item x="369"/>
        <item x="84"/>
        <item x="46"/>
        <item x="525"/>
        <item x="195"/>
        <item x="261"/>
        <item x="131"/>
        <item x="512"/>
        <item x="58"/>
        <item x="373"/>
        <item x="575"/>
        <item x="183"/>
        <item x="313"/>
        <item x="342"/>
        <item x="513"/>
        <item x="301"/>
        <item x="367"/>
        <item x="295"/>
        <item x="263"/>
        <item x="418"/>
        <item x="353"/>
        <item x="539"/>
        <item x="109"/>
        <item x="380"/>
        <item x="75"/>
        <item x="446"/>
        <item x="152"/>
        <item x="398"/>
        <item x="76"/>
        <item x="258"/>
        <item x="193"/>
        <item x="154"/>
        <item x="197"/>
        <item x="60"/>
        <item x="187"/>
        <item x="431"/>
        <item x="47"/>
        <item x="595"/>
        <item x="225"/>
        <item x="549"/>
        <item x="278"/>
        <item x="455"/>
        <item x="441"/>
        <item x="64"/>
        <item x="562"/>
        <item x="349"/>
        <item x="382"/>
        <item x="254"/>
        <item x="452"/>
        <item x="299"/>
        <item x="374"/>
        <item x="67"/>
        <item x="17"/>
        <item x="34"/>
        <item x="122"/>
        <item x="403"/>
        <item x="237"/>
        <item x="241"/>
        <item x="2"/>
        <item x="465"/>
        <item x="12"/>
        <item x="358"/>
        <item x="280"/>
        <item x="119"/>
        <item x="169"/>
        <item x="29"/>
        <item x="497"/>
        <item x="20"/>
        <item x="533"/>
        <item x="471"/>
        <item x="445"/>
        <item x="483"/>
        <item x="264"/>
        <item x="16"/>
        <item x="26"/>
        <item x="39"/>
        <item x="564"/>
        <item x="317"/>
        <item x="440"/>
        <item x="520"/>
        <item x="474"/>
        <item x="424"/>
        <item x="439"/>
        <item x="430"/>
        <item x="509"/>
        <item x="130"/>
        <item x="615"/>
        <item x="165"/>
        <item x="235"/>
        <item x="251"/>
        <item x="542"/>
        <item x="334"/>
        <item x="100"/>
        <item x="531"/>
        <item x="346"/>
        <item x="96"/>
        <item x="416"/>
        <item x="212"/>
        <item x="499"/>
        <item x="412"/>
        <item x="256"/>
        <item x="514"/>
        <item x="49"/>
        <item x="31"/>
        <item x="146"/>
        <item x="213"/>
        <item x="414"/>
        <item x="453"/>
        <item x="117"/>
        <item x="523"/>
        <item x="609"/>
        <item x="214"/>
        <item x="114"/>
        <item x="425"/>
        <item x="331"/>
        <item x="559"/>
        <item x="587"/>
        <item x="229"/>
        <item x="391"/>
        <item x="85"/>
        <item x="38"/>
        <item x="204"/>
        <item x="493"/>
        <item x="115"/>
        <item x="236"/>
        <item x="511"/>
        <item x="428"/>
        <item x="460"/>
        <item x="475"/>
        <item x="547"/>
        <item x="427"/>
        <item x="233"/>
        <item x="532"/>
        <item x="94"/>
        <item x="207"/>
        <item x="363"/>
        <item x="515"/>
        <item x="534"/>
        <item x="404"/>
        <item x="519"/>
        <item x="5"/>
        <item x="316"/>
        <item x="245"/>
        <item x="33"/>
        <item x="372"/>
        <item x="240"/>
        <item x="161"/>
        <item x="302"/>
        <item x="158"/>
        <item x="454"/>
        <item x="93"/>
        <item x="599"/>
        <item x="484"/>
        <item x="600"/>
        <item x="597"/>
        <item x="59"/>
        <item x="607"/>
        <item x="124"/>
        <item x="36"/>
        <item x="588"/>
        <item x="357"/>
        <item x="272"/>
        <item x="192"/>
        <item x="320"/>
        <item x="311"/>
        <item x="377"/>
        <item x="501"/>
        <item x="228"/>
        <item x="625"/>
        <item x="510"/>
        <item x="274"/>
        <item x="390"/>
        <item x="578"/>
        <item x="248"/>
        <item x="30"/>
        <item x="326"/>
        <item x="111"/>
        <item x="300"/>
        <item x="196"/>
        <item x="544"/>
        <item x="148"/>
        <item x="604"/>
        <item x="239"/>
        <item x="438"/>
        <item x="246"/>
        <item x="221"/>
        <item x="63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6"/>
    <field x="22"/>
    <field x="21"/>
    <field x="1"/>
  </rowFields>
  <rowItems count="48">
    <i>
      <x/>
    </i>
    <i>
      <x v="1"/>
    </i>
    <i r="1">
      <x v="1"/>
    </i>
    <i r="1">
      <x v="2"/>
    </i>
    <i r="1">
      <x v="3"/>
    </i>
    <i>
      <x v="2"/>
    </i>
    <i r="1">
      <x v="1"/>
    </i>
    <i r="1">
      <x v="2"/>
    </i>
    <i r="1">
      <x v="3"/>
    </i>
    <i>
      <x v="3"/>
    </i>
    <i r="1">
      <x v="1"/>
    </i>
    <i r="1">
      <x v="2"/>
    </i>
    <i r="1">
      <x v="3"/>
    </i>
    <i>
      <x v="4"/>
    </i>
    <i r="1">
      <x v="1"/>
    </i>
    <i r="1">
      <x v="2"/>
    </i>
    <i r="1">
      <x v="3"/>
    </i>
    <i>
      <x v="5"/>
    </i>
    <i r="1">
      <x v="1"/>
    </i>
    <i r="1">
      <x v="2"/>
    </i>
    <i r="1">
      <x v="3"/>
    </i>
    <i>
      <x v="6"/>
    </i>
    <i r="1">
      <x v="1"/>
    </i>
    <i r="1">
      <x v="2"/>
    </i>
    <i r="1">
      <x v="3"/>
    </i>
    <i>
      <x v="7"/>
    </i>
    <i r="1">
      <x v="1"/>
    </i>
    <i r="1">
      <x v="2"/>
    </i>
    <i r="1">
      <x v="3"/>
    </i>
    <i>
      <x v="8"/>
    </i>
    <i r="1">
      <x v="1"/>
    </i>
    <i r="1">
      <x v="2"/>
    </i>
    <i r="1">
      <x v="3"/>
    </i>
    <i>
      <x v="9"/>
    </i>
    <i r="1">
      <x v="1"/>
    </i>
    <i r="1">
      <x v="2"/>
    </i>
    <i r="1">
      <x v="3"/>
    </i>
    <i>
      <x v="10"/>
    </i>
    <i r="1">
      <x v="1"/>
    </i>
    <i r="1">
      <x v="2"/>
    </i>
    <i r="1">
      <x v="3"/>
    </i>
    <i>
      <x v="11"/>
    </i>
    <i r="1">
      <x v="1"/>
    </i>
    <i r="1">
      <x v="2"/>
    </i>
    <i r="1">
      <x v="3"/>
    </i>
    <i>
      <x v="12"/>
    </i>
    <i r="1">
      <x/>
    </i>
    <i t="grand">
      <x/>
    </i>
  </rowItems>
  <colItems count="1">
    <i/>
  </colItems>
  <dataFields count="1">
    <dataField name="Sum of GrossRevenue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10A334-735C-494E-BD60-9626160B2A00}" name="PivotTable1" cacheId="17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A3:E8" firstHeaderRow="0" firstDataRow="1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UnitCost" fld="1" baseField="0" baseItem="0"/>
    <dataField name="Sum of UnitPrice" fld="2" baseField="0" baseItem="0"/>
    <dataField name="Sum of DiscountPct" fld="3" baseField="0" baseItem="0"/>
    <dataField name="Sum of Quantity" fld="4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C$1:$O$63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61D4-71A8-4C70-A1B4-9103DA45755A}">
  <dimension ref="A1:O633"/>
  <sheetViews>
    <sheetView topLeftCell="B1" workbookViewId="0">
      <selection activeCell="N320" sqref="N320"/>
    </sheetView>
  </sheetViews>
  <sheetFormatPr defaultRowHeight="15" x14ac:dyDescent="0.25"/>
  <cols>
    <col min="1" max="1" width="16.42578125" bestFit="1" customWidth="1"/>
    <col min="2" max="2" width="10.42578125" bestFit="1" customWidth="1"/>
    <col min="3" max="3" width="13.42578125" bestFit="1" customWidth="1"/>
    <col min="5" max="5" width="15.42578125" bestFit="1" customWidth="1"/>
    <col min="6" max="6" width="13.5703125" bestFit="1" customWidth="1"/>
    <col min="7" max="7" width="17.7109375" bestFit="1" customWidth="1"/>
    <col min="8" max="8" width="12" bestFit="1" customWidth="1"/>
    <col min="9" max="9" width="11.7109375" bestFit="1" customWidth="1"/>
    <col min="10" max="10" width="15.85546875" bestFit="1" customWidth="1"/>
    <col min="11" max="11" width="10.28515625" bestFit="1" customWidth="1"/>
    <col min="12" max="12" width="8.7109375" bestFit="1" customWidth="1"/>
    <col min="13" max="13" width="9.28515625" bestFit="1" customWidth="1"/>
    <col min="14" max="14" width="11.42578125" bestFit="1" customWidth="1"/>
    <col min="15" max="15" width="8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45362</v>
      </c>
      <c r="C2" s="2">
        <v>45388</v>
      </c>
      <c r="D2" t="s">
        <v>646</v>
      </c>
      <c r="E2" t="s">
        <v>650</v>
      </c>
      <c r="F2" t="s">
        <v>662</v>
      </c>
      <c r="G2" t="s">
        <v>701</v>
      </c>
      <c r="H2" t="s">
        <v>707</v>
      </c>
      <c r="I2" t="s">
        <v>712</v>
      </c>
      <c r="J2" t="s">
        <v>727</v>
      </c>
      <c r="K2" t="s">
        <v>734</v>
      </c>
      <c r="L2">
        <v>279.24</v>
      </c>
      <c r="M2">
        <v>608.9</v>
      </c>
      <c r="N2">
        <v>0.112</v>
      </c>
      <c r="O2">
        <v>9</v>
      </c>
    </row>
    <row r="3" spans="1:15" x14ac:dyDescent="0.25">
      <c r="A3" t="s">
        <v>16</v>
      </c>
      <c r="B3" s="2">
        <v>45588</v>
      </c>
      <c r="C3" s="2">
        <v>45587</v>
      </c>
      <c r="D3" t="s">
        <v>646</v>
      </c>
      <c r="E3" t="s">
        <v>651</v>
      </c>
      <c r="F3" t="s">
        <v>663</v>
      </c>
      <c r="G3" t="s">
        <v>702</v>
      </c>
      <c r="H3" t="s">
        <v>708</v>
      </c>
      <c r="I3" t="s">
        <v>713</v>
      </c>
      <c r="J3" t="s">
        <v>728</v>
      </c>
      <c r="K3" t="s">
        <v>735</v>
      </c>
      <c r="L3">
        <v>1084.3900000000001</v>
      </c>
      <c r="M3">
        <v>759.33</v>
      </c>
      <c r="N3">
        <v>0.23699999999999999</v>
      </c>
      <c r="O3">
        <v>31</v>
      </c>
    </row>
    <row r="4" spans="1:15" x14ac:dyDescent="0.25">
      <c r="A4" t="s">
        <v>17</v>
      </c>
      <c r="B4" s="2">
        <v>44985</v>
      </c>
      <c r="C4" s="2">
        <v>45010</v>
      </c>
      <c r="D4" t="s">
        <v>646</v>
      </c>
      <c r="E4" t="s">
        <v>650</v>
      </c>
      <c r="F4" t="s">
        <v>664</v>
      </c>
      <c r="G4" t="s">
        <v>701</v>
      </c>
      <c r="H4" t="s">
        <v>707</v>
      </c>
      <c r="I4" t="s">
        <v>714</v>
      </c>
      <c r="J4" t="s">
        <v>729</v>
      </c>
      <c r="K4" t="s">
        <v>736</v>
      </c>
      <c r="L4">
        <v>1460.76</v>
      </c>
      <c r="M4">
        <v>-30.66</v>
      </c>
      <c r="N4">
        <v>0.13100000000000001</v>
      </c>
      <c r="O4">
        <v>12</v>
      </c>
    </row>
    <row r="5" spans="1:15" x14ac:dyDescent="0.25">
      <c r="A5" t="s">
        <v>18</v>
      </c>
      <c r="B5" s="2">
        <v>45745</v>
      </c>
      <c r="C5" s="2">
        <v>45749</v>
      </c>
      <c r="D5" t="s">
        <v>646</v>
      </c>
      <c r="E5" t="s">
        <v>651</v>
      </c>
      <c r="F5" t="s">
        <v>665</v>
      </c>
      <c r="G5" t="s">
        <v>703</v>
      </c>
      <c r="H5" t="s">
        <v>709</v>
      </c>
      <c r="I5" t="s">
        <v>715</v>
      </c>
      <c r="J5" t="s">
        <v>730</v>
      </c>
      <c r="K5" t="s">
        <v>737</v>
      </c>
      <c r="L5">
        <v>259.93</v>
      </c>
      <c r="M5">
        <v>255.94</v>
      </c>
      <c r="N5">
        <v>7.1999999999999995E-2</v>
      </c>
      <c r="O5">
        <v>22</v>
      </c>
    </row>
    <row r="6" spans="1:15" x14ac:dyDescent="0.25">
      <c r="A6" t="s">
        <v>19</v>
      </c>
      <c r="B6" s="2">
        <v>45266</v>
      </c>
      <c r="C6" s="2">
        <v>45291</v>
      </c>
      <c r="D6" t="s">
        <v>647</v>
      </c>
      <c r="E6" t="s">
        <v>652</v>
      </c>
      <c r="F6" t="s">
        <v>666</v>
      </c>
      <c r="G6" t="s">
        <v>704</v>
      </c>
      <c r="H6" t="s">
        <v>707</v>
      </c>
      <c r="I6" t="s">
        <v>716</v>
      </c>
      <c r="J6" t="s">
        <v>728</v>
      </c>
      <c r="K6" t="s">
        <v>738</v>
      </c>
      <c r="L6">
        <v>663.03</v>
      </c>
      <c r="M6">
        <v>813.51</v>
      </c>
      <c r="N6">
        <v>0.10199999999999999</v>
      </c>
      <c r="O6">
        <v>15</v>
      </c>
    </row>
    <row r="7" spans="1:15" x14ac:dyDescent="0.25">
      <c r="A7" t="s">
        <v>20</v>
      </c>
      <c r="B7" s="2">
        <v>44928</v>
      </c>
      <c r="C7" s="2">
        <v>44931</v>
      </c>
      <c r="D7" t="s">
        <v>648</v>
      </c>
      <c r="E7" t="s">
        <v>653</v>
      </c>
      <c r="F7" t="s">
        <v>667</v>
      </c>
      <c r="G7" t="s">
        <v>701</v>
      </c>
      <c r="H7" t="s">
        <v>710</v>
      </c>
      <c r="I7" t="s">
        <v>717</v>
      </c>
      <c r="J7" t="s">
        <v>731</v>
      </c>
      <c r="K7" t="s">
        <v>739</v>
      </c>
      <c r="L7">
        <v>315.87</v>
      </c>
      <c r="M7">
        <v>591.67999999999995</v>
      </c>
      <c r="N7">
        <v>0</v>
      </c>
      <c r="O7">
        <v>7</v>
      </c>
    </row>
    <row r="8" spans="1:15" x14ac:dyDescent="0.25">
      <c r="A8" t="s">
        <v>21</v>
      </c>
      <c r="B8" s="2">
        <v>45653</v>
      </c>
      <c r="C8" s="2">
        <v>45671</v>
      </c>
      <c r="D8" t="s">
        <v>647</v>
      </c>
      <c r="E8" t="s">
        <v>654</v>
      </c>
      <c r="F8" t="s">
        <v>668</v>
      </c>
      <c r="G8" t="s">
        <v>705</v>
      </c>
      <c r="H8" t="s">
        <v>709</v>
      </c>
      <c r="I8" t="s">
        <v>718</v>
      </c>
      <c r="J8" t="s">
        <v>732</v>
      </c>
      <c r="K8" t="s">
        <v>740</v>
      </c>
      <c r="L8">
        <v>586.07000000000005</v>
      </c>
      <c r="M8">
        <v>845.97</v>
      </c>
      <c r="N8">
        <v>0.14699999999999999</v>
      </c>
      <c r="O8">
        <v>4</v>
      </c>
    </row>
    <row r="9" spans="1:15" x14ac:dyDescent="0.25">
      <c r="A9" t="s">
        <v>22</v>
      </c>
      <c r="B9" s="2">
        <v>44941</v>
      </c>
      <c r="C9" s="2">
        <v>44939</v>
      </c>
      <c r="D9" t="s">
        <v>646</v>
      </c>
      <c r="E9" t="s">
        <v>651</v>
      </c>
      <c r="F9" t="s">
        <v>669</v>
      </c>
      <c r="G9" t="s">
        <v>702</v>
      </c>
      <c r="H9" t="s">
        <v>708</v>
      </c>
      <c r="I9" t="s">
        <v>719</v>
      </c>
      <c r="J9" t="s">
        <v>728</v>
      </c>
      <c r="K9" t="s">
        <v>741</v>
      </c>
      <c r="L9">
        <v>28.38</v>
      </c>
      <c r="M9">
        <v>47.22</v>
      </c>
      <c r="N9">
        <v>0.19400000000000001</v>
      </c>
      <c r="O9">
        <v>18</v>
      </c>
    </row>
    <row r="10" spans="1:15" x14ac:dyDescent="0.25">
      <c r="A10" t="s">
        <v>23</v>
      </c>
      <c r="B10" s="2">
        <v>45416</v>
      </c>
      <c r="C10" s="2">
        <v>45441</v>
      </c>
      <c r="D10" t="s">
        <v>646</v>
      </c>
      <c r="E10" t="s">
        <v>651</v>
      </c>
      <c r="F10" t="s">
        <v>669</v>
      </c>
      <c r="G10" t="s">
        <v>703</v>
      </c>
      <c r="H10" t="s">
        <v>709</v>
      </c>
      <c r="I10" t="s">
        <v>719</v>
      </c>
      <c r="J10" t="s">
        <v>732</v>
      </c>
      <c r="K10" t="s">
        <v>742</v>
      </c>
      <c r="L10">
        <v>1295.3399999999999</v>
      </c>
      <c r="M10">
        <v>2530.81</v>
      </c>
      <c r="N10">
        <v>3.1E-2</v>
      </c>
      <c r="O10">
        <v>6</v>
      </c>
    </row>
    <row r="11" spans="1:15" x14ac:dyDescent="0.25">
      <c r="A11" t="s">
        <v>24</v>
      </c>
      <c r="B11" s="2">
        <v>45798</v>
      </c>
      <c r="C11" s="2">
        <v>45817</v>
      </c>
      <c r="D11" t="s">
        <v>648</v>
      </c>
      <c r="E11" t="s">
        <v>655</v>
      </c>
      <c r="F11" t="s">
        <v>670</v>
      </c>
      <c r="G11" t="s">
        <v>703</v>
      </c>
      <c r="H11" t="s">
        <v>708</v>
      </c>
      <c r="I11" t="s">
        <v>720</v>
      </c>
      <c r="J11" t="s">
        <v>727</v>
      </c>
      <c r="K11" t="s">
        <v>743</v>
      </c>
      <c r="L11">
        <v>1331.38</v>
      </c>
      <c r="M11">
        <v>2309.56</v>
      </c>
      <c r="N11">
        <v>0.14899999999999999</v>
      </c>
      <c r="O11">
        <v>31</v>
      </c>
    </row>
    <row r="12" spans="1:15" x14ac:dyDescent="0.25">
      <c r="A12" t="s">
        <v>25</v>
      </c>
      <c r="B12" s="2">
        <v>45319</v>
      </c>
      <c r="C12" s="2">
        <v>45331</v>
      </c>
      <c r="D12" t="s">
        <v>649</v>
      </c>
      <c r="E12" t="s">
        <v>656</v>
      </c>
      <c r="F12" t="s">
        <v>671</v>
      </c>
      <c r="G12" t="s">
        <v>701</v>
      </c>
      <c r="H12" t="s">
        <v>708</v>
      </c>
      <c r="I12" t="s">
        <v>715</v>
      </c>
      <c r="J12" t="s">
        <v>733</v>
      </c>
      <c r="K12" t="s">
        <v>744</v>
      </c>
      <c r="L12">
        <v>644.16999999999996</v>
      </c>
      <c r="M12">
        <v>700.12</v>
      </c>
      <c r="N12">
        <v>6.0000000000000001E-3</v>
      </c>
      <c r="O12">
        <v>23</v>
      </c>
    </row>
    <row r="13" spans="1:15" x14ac:dyDescent="0.25">
      <c r="A13" t="s">
        <v>26</v>
      </c>
      <c r="B13" s="2">
        <v>45660</v>
      </c>
      <c r="C13" s="2">
        <v>45680</v>
      </c>
      <c r="D13" t="s">
        <v>647</v>
      </c>
      <c r="E13" t="s">
        <v>652</v>
      </c>
      <c r="F13" t="s">
        <v>666</v>
      </c>
      <c r="G13" t="s">
        <v>701</v>
      </c>
      <c r="H13" t="s">
        <v>710</v>
      </c>
      <c r="I13" t="s">
        <v>721</v>
      </c>
      <c r="J13" t="s">
        <v>730</v>
      </c>
      <c r="K13" t="s">
        <v>745</v>
      </c>
      <c r="L13">
        <v>908.6</v>
      </c>
      <c r="M13">
        <v>691.37</v>
      </c>
      <c r="N13">
        <v>0.25</v>
      </c>
      <c r="O13">
        <v>20</v>
      </c>
    </row>
    <row r="14" spans="1:15" x14ac:dyDescent="0.25">
      <c r="A14" t="s">
        <v>27</v>
      </c>
      <c r="B14" s="2">
        <v>45722</v>
      </c>
      <c r="C14" s="2">
        <v>45747</v>
      </c>
      <c r="D14" t="s">
        <v>648</v>
      </c>
      <c r="E14" t="s">
        <v>655</v>
      </c>
      <c r="F14" t="s">
        <v>672</v>
      </c>
      <c r="G14" t="s">
        <v>703</v>
      </c>
      <c r="H14" t="s">
        <v>708</v>
      </c>
      <c r="I14" t="s">
        <v>713</v>
      </c>
      <c r="J14" t="s">
        <v>727</v>
      </c>
      <c r="K14" t="s">
        <v>746</v>
      </c>
      <c r="L14">
        <v>331.57</v>
      </c>
      <c r="M14">
        <v>548.4</v>
      </c>
      <c r="N14">
        <v>9.4E-2</v>
      </c>
      <c r="O14">
        <v>10</v>
      </c>
    </row>
    <row r="15" spans="1:15" x14ac:dyDescent="0.25">
      <c r="A15" t="s">
        <v>28</v>
      </c>
      <c r="B15" s="2">
        <v>45311</v>
      </c>
      <c r="C15" s="2">
        <v>45335</v>
      </c>
      <c r="D15" t="s">
        <v>649</v>
      </c>
      <c r="E15" t="s">
        <v>657</v>
      </c>
      <c r="F15" t="s">
        <v>673</v>
      </c>
      <c r="G15" t="s">
        <v>701</v>
      </c>
      <c r="H15" t="s">
        <v>707</v>
      </c>
      <c r="I15" t="s">
        <v>722</v>
      </c>
      <c r="J15" t="s">
        <v>728</v>
      </c>
      <c r="K15" t="s">
        <v>747</v>
      </c>
      <c r="L15">
        <v>643.53</v>
      </c>
      <c r="M15">
        <v>1439.01</v>
      </c>
      <c r="N15">
        <v>0</v>
      </c>
      <c r="O15">
        <v>15</v>
      </c>
    </row>
    <row r="16" spans="1:15" x14ac:dyDescent="0.25">
      <c r="A16" t="s">
        <v>29</v>
      </c>
      <c r="B16" s="2">
        <v>45901</v>
      </c>
      <c r="C16" s="2">
        <v>45930</v>
      </c>
      <c r="D16" t="s">
        <v>648</v>
      </c>
      <c r="E16" t="s">
        <v>655</v>
      </c>
      <c r="F16" t="s">
        <v>672</v>
      </c>
      <c r="G16" t="s">
        <v>702</v>
      </c>
      <c r="H16" t="s">
        <v>707</v>
      </c>
      <c r="I16" t="s">
        <v>723</v>
      </c>
      <c r="J16" t="s">
        <v>733</v>
      </c>
      <c r="K16" t="s">
        <v>748</v>
      </c>
      <c r="L16">
        <v>780.59</v>
      </c>
      <c r="M16">
        <v>631.57000000000005</v>
      </c>
      <c r="N16">
        <v>0</v>
      </c>
      <c r="O16">
        <v>12</v>
      </c>
    </row>
    <row r="17" spans="1:15" x14ac:dyDescent="0.25">
      <c r="A17" t="s">
        <v>30</v>
      </c>
      <c r="B17" s="2">
        <v>45039</v>
      </c>
      <c r="C17" s="2">
        <v>45038</v>
      </c>
      <c r="D17" t="s">
        <v>646</v>
      </c>
      <c r="E17" t="s">
        <v>650</v>
      </c>
      <c r="F17" t="s">
        <v>664</v>
      </c>
      <c r="G17" t="s">
        <v>705</v>
      </c>
      <c r="H17" t="s">
        <v>711</v>
      </c>
      <c r="I17" t="s">
        <v>718</v>
      </c>
      <c r="J17" t="s">
        <v>731</v>
      </c>
      <c r="K17" t="s">
        <v>749</v>
      </c>
      <c r="L17">
        <v>756.51</v>
      </c>
      <c r="M17">
        <v>850.8</v>
      </c>
      <c r="N17">
        <v>7.3999999999999996E-2</v>
      </c>
      <c r="O17">
        <v>9</v>
      </c>
    </row>
    <row r="18" spans="1:15" x14ac:dyDescent="0.25">
      <c r="A18" t="s">
        <v>31</v>
      </c>
      <c r="B18" s="2">
        <v>45636</v>
      </c>
      <c r="C18" s="2">
        <v>45665</v>
      </c>
      <c r="D18" t="s">
        <v>649</v>
      </c>
      <c r="E18" t="s">
        <v>657</v>
      </c>
      <c r="F18" t="s">
        <v>673</v>
      </c>
      <c r="G18" t="s">
        <v>705</v>
      </c>
      <c r="H18" t="s">
        <v>707</v>
      </c>
      <c r="I18" t="s">
        <v>723</v>
      </c>
      <c r="J18" t="s">
        <v>728</v>
      </c>
      <c r="K18" t="s">
        <v>750</v>
      </c>
      <c r="L18">
        <v>891.08</v>
      </c>
      <c r="M18">
        <v>1040.0999999999999</v>
      </c>
      <c r="N18">
        <v>0.109</v>
      </c>
      <c r="O18">
        <v>28</v>
      </c>
    </row>
    <row r="19" spans="1:15" x14ac:dyDescent="0.25">
      <c r="A19" t="s">
        <v>32</v>
      </c>
      <c r="B19" s="2">
        <v>45908</v>
      </c>
      <c r="C19" s="2">
        <v>45916</v>
      </c>
      <c r="D19" t="s">
        <v>647</v>
      </c>
      <c r="E19" t="s">
        <v>652</v>
      </c>
      <c r="F19" t="s">
        <v>666</v>
      </c>
      <c r="G19" t="s">
        <v>701</v>
      </c>
      <c r="H19" t="s">
        <v>710</v>
      </c>
      <c r="I19" t="s">
        <v>712</v>
      </c>
      <c r="J19" t="s">
        <v>730</v>
      </c>
      <c r="K19" t="s">
        <v>751</v>
      </c>
      <c r="L19">
        <v>1225.57</v>
      </c>
      <c r="M19">
        <v>2705.57</v>
      </c>
      <c r="N19">
        <v>0.183</v>
      </c>
      <c r="O19">
        <v>16</v>
      </c>
    </row>
    <row r="20" spans="1:15" x14ac:dyDescent="0.25">
      <c r="A20" t="s">
        <v>33</v>
      </c>
      <c r="B20" s="2">
        <v>45858</v>
      </c>
      <c r="C20" s="2">
        <v>45874</v>
      </c>
      <c r="D20" t="s">
        <v>648</v>
      </c>
      <c r="E20" t="s">
        <v>655</v>
      </c>
      <c r="F20" t="s">
        <v>672</v>
      </c>
      <c r="G20" t="s">
        <v>706</v>
      </c>
      <c r="H20" t="s">
        <v>709</v>
      </c>
      <c r="I20" t="s">
        <v>715</v>
      </c>
      <c r="J20" t="s">
        <v>733</v>
      </c>
      <c r="K20" t="s">
        <v>752</v>
      </c>
      <c r="L20">
        <v>1068.17</v>
      </c>
      <c r="M20">
        <v>2375.37</v>
      </c>
      <c r="N20">
        <v>0.109</v>
      </c>
      <c r="O20">
        <v>18</v>
      </c>
    </row>
    <row r="21" spans="1:15" x14ac:dyDescent="0.25">
      <c r="A21" t="s">
        <v>34</v>
      </c>
      <c r="B21" s="2">
        <v>45798</v>
      </c>
      <c r="C21" s="2">
        <v>45796</v>
      </c>
      <c r="D21" t="s">
        <v>649</v>
      </c>
      <c r="E21" t="s">
        <v>658</v>
      </c>
      <c r="F21" t="s">
        <v>674</v>
      </c>
      <c r="G21" t="s">
        <v>706</v>
      </c>
      <c r="H21" t="s">
        <v>708</v>
      </c>
      <c r="I21" t="s">
        <v>724</v>
      </c>
      <c r="J21" t="s">
        <v>731</v>
      </c>
      <c r="K21" t="s">
        <v>753</v>
      </c>
      <c r="L21">
        <v>1015.16</v>
      </c>
      <c r="M21">
        <v>2148.14</v>
      </c>
      <c r="N21">
        <v>3.7999999999999999E-2</v>
      </c>
      <c r="O21">
        <v>19</v>
      </c>
    </row>
    <row r="22" spans="1:15" x14ac:dyDescent="0.25">
      <c r="A22" t="s">
        <v>35</v>
      </c>
      <c r="B22" s="2">
        <v>45498</v>
      </c>
      <c r="C22" s="2">
        <v>45497</v>
      </c>
      <c r="D22" t="s">
        <v>646</v>
      </c>
      <c r="E22" t="s">
        <v>650</v>
      </c>
      <c r="F22" t="s">
        <v>675</v>
      </c>
      <c r="G22" t="s">
        <v>703</v>
      </c>
      <c r="H22" t="s">
        <v>711</v>
      </c>
      <c r="I22" t="s">
        <v>713</v>
      </c>
      <c r="J22" t="s">
        <v>731</v>
      </c>
      <c r="K22" t="s">
        <v>754</v>
      </c>
      <c r="L22">
        <v>1494.4</v>
      </c>
      <c r="M22">
        <v>3661.07</v>
      </c>
      <c r="N22">
        <v>7.1999999999999995E-2</v>
      </c>
      <c r="O22">
        <v>7</v>
      </c>
    </row>
    <row r="23" spans="1:15" x14ac:dyDescent="0.25">
      <c r="A23" t="s">
        <v>36</v>
      </c>
      <c r="B23" s="2">
        <v>45057</v>
      </c>
      <c r="C23" s="2">
        <v>45074</v>
      </c>
      <c r="D23" t="s">
        <v>647</v>
      </c>
      <c r="E23" t="s">
        <v>659</v>
      </c>
      <c r="F23" t="s">
        <v>676</v>
      </c>
      <c r="G23" t="s">
        <v>706</v>
      </c>
      <c r="H23" t="s">
        <v>709</v>
      </c>
      <c r="I23" t="s">
        <v>718</v>
      </c>
      <c r="J23" t="s">
        <v>729</v>
      </c>
      <c r="K23" t="s">
        <v>755</v>
      </c>
      <c r="L23">
        <v>1331.19</v>
      </c>
      <c r="M23">
        <v>2903.09</v>
      </c>
      <c r="N23">
        <v>0.14299999999999999</v>
      </c>
      <c r="O23">
        <v>8</v>
      </c>
    </row>
    <row r="24" spans="1:15" x14ac:dyDescent="0.25">
      <c r="A24" t="s">
        <v>37</v>
      </c>
      <c r="B24" s="2">
        <v>45822</v>
      </c>
      <c r="C24" s="2">
        <v>45837</v>
      </c>
      <c r="D24" t="s">
        <v>646</v>
      </c>
      <c r="E24" t="s">
        <v>651</v>
      </c>
      <c r="F24" t="s">
        <v>663</v>
      </c>
      <c r="G24" t="s">
        <v>704</v>
      </c>
      <c r="H24" t="s">
        <v>709</v>
      </c>
      <c r="I24" t="s">
        <v>724</v>
      </c>
      <c r="J24" t="s">
        <v>733</v>
      </c>
      <c r="K24" t="s">
        <v>756</v>
      </c>
      <c r="L24">
        <v>730.99</v>
      </c>
      <c r="M24">
        <v>1242.8399999999999</v>
      </c>
      <c r="N24">
        <v>0.12</v>
      </c>
      <c r="O24">
        <v>10</v>
      </c>
    </row>
    <row r="25" spans="1:15" x14ac:dyDescent="0.25">
      <c r="A25" t="s">
        <v>38</v>
      </c>
      <c r="B25" s="2">
        <v>45430</v>
      </c>
      <c r="C25" s="2">
        <v>45435</v>
      </c>
      <c r="D25" t="s">
        <v>648</v>
      </c>
      <c r="E25" t="s">
        <v>660</v>
      </c>
      <c r="F25" t="s">
        <v>677</v>
      </c>
      <c r="G25" t="s">
        <v>706</v>
      </c>
      <c r="H25" t="s">
        <v>707</v>
      </c>
      <c r="I25" t="s">
        <v>722</v>
      </c>
      <c r="J25" t="s">
        <v>731</v>
      </c>
      <c r="K25" t="s">
        <v>757</v>
      </c>
      <c r="L25">
        <v>1274.5899999999999</v>
      </c>
      <c r="M25">
        <v>2553.69</v>
      </c>
      <c r="N25">
        <v>0.01</v>
      </c>
      <c r="O25">
        <v>8</v>
      </c>
    </row>
    <row r="26" spans="1:15" x14ac:dyDescent="0.25">
      <c r="A26" t="s">
        <v>39</v>
      </c>
      <c r="B26" s="2">
        <v>44964</v>
      </c>
      <c r="C26" s="2">
        <v>44969</v>
      </c>
      <c r="D26" t="s">
        <v>648</v>
      </c>
      <c r="E26" t="s">
        <v>655</v>
      </c>
      <c r="F26" t="s">
        <v>670</v>
      </c>
      <c r="G26" t="s">
        <v>702</v>
      </c>
      <c r="H26" t="s">
        <v>708</v>
      </c>
      <c r="I26" t="s">
        <v>725</v>
      </c>
      <c r="J26" t="s">
        <v>727</v>
      </c>
      <c r="K26" t="s">
        <v>758</v>
      </c>
      <c r="L26">
        <v>948.55</v>
      </c>
      <c r="M26">
        <v>2089.16</v>
      </c>
      <c r="N26">
        <v>7.0000000000000001E-3</v>
      </c>
      <c r="O26">
        <v>12</v>
      </c>
    </row>
    <row r="27" spans="1:15" x14ac:dyDescent="0.25">
      <c r="A27" t="s">
        <v>40</v>
      </c>
      <c r="B27" s="2">
        <v>45473</v>
      </c>
      <c r="C27" s="2">
        <v>45487</v>
      </c>
      <c r="D27" t="s">
        <v>648</v>
      </c>
      <c r="E27" t="s">
        <v>655</v>
      </c>
      <c r="F27" t="s">
        <v>672</v>
      </c>
      <c r="G27" t="s">
        <v>702</v>
      </c>
      <c r="H27" t="s">
        <v>707</v>
      </c>
      <c r="I27" t="s">
        <v>712</v>
      </c>
      <c r="J27" t="s">
        <v>733</v>
      </c>
      <c r="K27" t="s">
        <v>759</v>
      </c>
      <c r="L27">
        <v>1491.85</v>
      </c>
      <c r="M27">
        <v>2583.02</v>
      </c>
      <c r="N27">
        <v>0.16800000000000001</v>
      </c>
      <c r="O27">
        <v>4</v>
      </c>
    </row>
    <row r="28" spans="1:15" x14ac:dyDescent="0.25">
      <c r="A28" t="s">
        <v>41</v>
      </c>
      <c r="B28" s="2">
        <v>45626</v>
      </c>
      <c r="C28" s="2">
        <v>45656</v>
      </c>
      <c r="D28" t="s">
        <v>649</v>
      </c>
      <c r="E28" t="s">
        <v>657</v>
      </c>
      <c r="F28" t="s">
        <v>673</v>
      </c>
      <c r="G28" t="s">
        <v>704</v>
      </c>
      <c r="H28" t="s">
        <v>709</v>
      </c>
      <c r="I28" t="s">
        <v>721</v>
      </c>
      <c r="J28" t="s">
        <v>728</v>
      </c>
      <c r="K28" t="s">
        <v>760</v>
      </c>
      <c r="L28">
        <v>117.64</v>
      </c>
      <c r="M28">
        <v>175.67</v>
      </c>
      <c r="N28">
        <v>0</v>
      </c>
      <c r="O28">
        <v>10</v>
      </c>
    </row>
    <row r="29" spans="1:15" x14ac:dyDescent="0.25">
      <c r="A29" t="s">
        <v>42</v>
      </c>
      <c r="B29" s="2">
        <v>45492</v>
      </c>
      <c r="C29" s="2">
        <v>45492</v>
      </c>
      <c r="D29" t="s">
        <v>646</v>
      </c>
      <c r="E29" t="s">
        <v>650</v>
      </c>
      <c r="F29" t="s">
        <v>662</v>
      </c>
      <c r="G29" t="s">
        <v>705</v>
      </c>
      <c r="H29" t="s">
        <v>707</v>
      </c>
      <c r="I29" t="s">
        <v>720</v>
      </c>
      <c r="J29" t="s">
        <v>730</v>
      </c>
      <c r="K29" t="s">
        <v>761</v>
      </c>
      <c r="L29">
        <v>857.24</v>
      </c>
      <c r="M29">
        <v>758.23</v>
      </c>
      <c r="N29">
        <v>0.125</v>
      </c>
      <c r="O29">
        <v>6</v>
      </c>
    </row>
    <row r="30" spans="1:15" x14ac:dyDescent="0.25">
      <c r="A30" t="s">
        <v>43</v>
      </c>
      <c r="B30" s="2">
        <v>45030</v>
      </c>
      <c r="C30" s="2">
        <v>45060</v>
      </c>
      <c r="D30" t="s">
        <v>646</v>
      </c>
      <c r="E30" t="s">
        <v>650</v>
      </c>
      <c r="F30" t="s">
        <v>678</v>
      </c>
      <c r="G30" t="s">
        <v>704</v>
      </c>
      <c r="H30" t="s">
        <v>709</v>
      </c>
      <c r="I30" t="s">
        <v>724</v>
      </c>
      <c r="J30" t="s">
        <v>730</v>
      </c>
      <c r="K30" t="s">
        <v>762</v>
      </c>
      <c r="L30">
        <v>209.25</v>
      </c>
      <c r="M30">
        <v>434.8</v>
      </c>
      <c r="N30">
        <v>0</v>
      </c>
      <c r="O30">
        <v>9</v>
      </c>
    </row>
    <row r="31" spans="1:15" x14ac:dyDescent="0.25">
      <c r="A31" t="s">
        <v>44</v>
      </c>
      <c r="B31" s="2">
        <v>45754</v>
      </c>
      <c r="C31" s="2">
        <v>45758</v>
      </c>
      <c r="D31" t="s">
        <v>649</v>
      </c>
      <c r="E31" t="s">
        <v>657</v>
      </c>
      <c r="F31" t="s">
        <v>679</v>
      </c>
      <c r="G31" t="s">
        <v>702</v>
      </c>
      <c r="H31" t="s">
        <v>707</v>
      </c>
      <c r="I31" t="s">
        <v>718</v>
      </c>
      <c r="J31" t="s">
        <v>729</v>
      </c>
      <c r="K31" t="s">
        <v>763</v>
      </c>
      <c r="L31">
        <v>754.77</v>
      </c>
      <c r="M31">
        <v>1666.18</v>
      </c>
      <c r="N31">
        <v>0.13900000000000001</v>
      </c>
      <c r="O31">
        <v>14</v>
      </c>
    </row>
    <row r="32" spans="1:15" x14ac:dyDescent="0.25">
      <c r="A32" t="s">
        <v>45</v>
      </c>
      <c r="B32" s="2">
        <v>45653</v>
      </c>
      <c r="C32" s="2">
        <v>45672</v>
      </c>
      <c r="D32" t="s">
        <v>647</v>
      </c>
      <c r="E32" t="s">
        <v>654</v>
      </c>
      <c r="F32" t="s">
        <v>680</v>
      </c>
      <c r="G32" t="s">
        <v>703</v>
      </c>
      <c r="H32" t="s">
        <v>710</v>
      </c>
      <c r="I32" t="s">
        <v>715</v>
      </c>
      <c r="J32" t="s">
        <v>727</v>
      </c>
      <c r="K32" t="s">
        <v>764</v>
      </c>
      <c r="L32">
        <v>495.59</v>
      </c>
      <c r="M32">
        <v>631.78</v>
      </c>
      <c r="N32">
        <v>8.6999999999999994E-2</v>
      </c>
      <c r="O32">
        <v>17</v>
      </c>
    </row>
    <row r="33" spans="1:15" x14ac:dyDescent="0.25">
      <c r="A33" t="s">
        <v>46</v>
      </c>
      <c r="B33" s="2">
        <v>44980</v>
      </c>
      <c r="C33" s="2">
        <v>45010</v>
      </c>
      <c r="D33" t="s">
        <v>648</v>
      </c>
      <c r="E33" t="s">
        <v>653</v>
      </c>
      <c r="F33" t="s">
        <v>681</v>
      </c>
      <c r="G33" t="s">
        <v>706</v>
      </c>
      <c r="H33" t="s">
        <v>708</v>
      </c>
      <c r="I33" t="s">
        <v>726</v>
      </c>
      <c r="J33" t="s">
        <v>730</v>
      </c>
      <c r="K33" t="s">
        <v>765</v>
      </c>
      <c r="L33">
        <v>1242.6600000000001</v>
      </c>
      <c r="M33">
        <v>1794.07</v>
      </c>
      <c r="N33">
        <v>8.8999999999999996E-2</v>
      </c>
      <c r="O33">
        <v>16</v>
      </c>
    </row>
    <row r="34" spans="1:15" x14ac:dyDescent="0.25">
      <c r="A34" t="s">
        <v>47</v>
      </c>
      <c r="B34" s="2">
        <v>45862</v>
      </c>
      <c r="C34" s="2">
        <v>45875</v>
      </c>
      <c r="D34" t="s">
        <v>646</v>
      </c>
      <c r="E34" t="s">
        <v>661</v>
      </c>
      <c r="F34" t="s">
        <v>682</v>
      </c>
      <c r="G34" t="s">
        <v>702</v>
      </c>
      <c r="H34" t="s">
        <v>709</v>
      </c>
      <c r="I34" t="s">
        <v>726</v>
      </c>
      <c r="J34" t="s">
        <v>729</v>
      </c>
      <c r="K34" t="s">
        <v>766</v>
      </c>
      <c r="L34">
        <v>1463.9</v>
      </c>
      <c r="M34">
        <v>2633.02</v>
      </c>
      <c r="N34">
        <v>8.4000000000000005E-2</v>
      </c>
      <c r="O34">
        <v>4</v>
      </c>
    </row>
    <row r="35" spans="1:15" x14ac:dyDescent="0.25">
      <c r="A35" t="s">
        <v>48</v>
      </c>
      <c r="B35" s="2">
        <v>45400</v>
      </c>
      <c r="C35" s="2">
        <v>45420</v>
      </c>
      <c r="D35" t="s">
        <v>649</v>
      </c>
      <c r="E35" t="s">
        <v>658</v>
      </c>
      <c r="F35" t="s">
        <v>683</v>
      </c>
      <c r="G35" t="s">
        <v>703</v>
      </c>
      <c r="I35" t="s">
        <v>726</v>
      </c>
      <c r="J35" t="s">
        <v>731</v>
      </c>
      <c r="K35" t="s">
        <v>767</v>
      </c>
      <c r="L35">
        <v>645.33000000000004</v>
      </c>
      <c r="M35">
        <v>1321.85</v>
      </c>
      <c r="N35">
        <v>0</v>
      </c>
      <c r="O35">
        <v>10</v>
      </c>
    </row>
    <row r="36" spans="1:15" x14ac:dyDescent="0.25">
      <c r="A36" t="s">
        <v>49</v>
      </c>
      <c r="B36" s="2">
        <v>45527</v>
      </c>
      <c r="C36" s="2">
        <v>45525</v>
      </c>
      <c r="D36" t="s">
        <v>646</v>
      </c>
      <c r="E36" t="s">
        <v>661</v>
      </c>
      <c r="F36" t="s">
        <v>682</v>
      </c>
      <c r="G36" t="s">
        <v>702</v>
      </c>
      <c r="H36" t="s">
        <v>707</v>
      </c>
      <c r="I36" t="s">
        <v>718</v>
      </c>
      <c r="J36" t="s">
        <v>727</v>
      </c>
      <c r="K36" t="s">
        <v>768</v>
      </c>
      <c r="L36">
        <v>1432.52</v>
      </c>
      <c r="M36">
        <v>3036.87</v>
      </c>
      <c r="N36">
        <v>0</v>
      </c>
      <c r="O36">
        <v>9</v>
      </c>
    </row>
    <row r="37" spans="1:15" x14ac:dyDescent="0.25">
      <c r="A37" t="s">
        <v>50</v>
      </c>
      <c r="B37" s="2">
        <v>45012</v>
      </c>
      <c r="C37" s="2">
        <v>45038</v>
      </c>
      <c r="D37" t="s">
        <v>647</v>
      </c>
      <c r="E37" t="s">
        <v>654</v>
      </c>
      <c r="F37" t="s">
        <v>680</v>
      </c>
      <c r="G37" t="s">
        <v>703</v>
      </c>
      <c r="H37" t="s">
        <v>709</v>
      </c>
      <c r="I37" t="s">
        <v>713</v>
      </c>
      <c r="J37" t="s">
        <v>728</v>
      </c>
      <c r="K37" t="s">
        <v>769</v>
      </c>
      <c r="L37">
        <v>178.53</v>
      </c>
      <c r="M37">
        <v>199.37</v>
      </c>
      <c r="N37">
        <v>0.10100000000000001</v>
      </c>
      <c r="O37">
        <v>37</v>
      </c>
    </row>
    <row r="38" spans="1:15" x14ac:dyDescent="0.25">
      <c r="A38" t="s">
        <v>51</v>
      </c>
      <c r="B38" s="2">
        <v>45358</v>
      </c>
      <c r="C38" s="2">
        <v>45376</v>
      </c>
      <c r="D38" t="s">
        <v>649</v>
      </c>
      <c r="E38" t="s">
        <v>656</v>
      </c>
      <c r="F38" t="s">
        <v>684</v>
      </c>
      <c r="G38" t="s">
        <v>701</v>
      </c>
      <c r="H38" t="s">
        <v>708</v>
      </c>
      <c r="I38" t="s">
        <v>717</v>
      </c>
      <c r="J38" t="s">
        <v>727</v>
      </c>
      <c r="K38" t="s">
        <v>770</v>
      </c>
      <c r="L38">
        <v>712.84</v>
      </c>
      <c r="M38">
        <v>927.51</v>
      </c>
      <c r="N38">
        <v>0.24299999999999999</v>
      </c>
      <c r="O38">
        <v>27</v>
      </c>
    </row>
    <row r="39" spans="1:15" x14ac:dyDescent="0.25">
      <c r="A39" t="s">
        <v>52</v>
      </c>
      <c r="B39" s="2">
        <v>45832</v>
      </c>
      <c r="C39" s="2">
        <v>45848</v>
      </c>
      <c r="D39" t="s">
        <v>647</v>
      </c>
      <c r="E39" t="s">
        <v>659</v>
      </c>
      <c r="F39" t="s">
        <v>685</v>
      </c>
      <c r="G39" t="s">
        <v>706</v>
      </c>
      <c r="H39" t="s">
        <v>711</v>
      </c>
      <c r="I39" t="s">
        <v>725</v>
      </c>
      <c r="J39" t="s">
        <v>727</v>
      </c>
      <c r="K39" t="s">
        <v>771</v>
      </c>
      <c r="L39">
        <v>757.19</v>
      </c>
      <c r="M39">
        <v>1735.41</v>
      </c>
      <c r="N39">
        <v>0.13600000000000001</v>
      </c>
      <c r="O39">
        <v>8</v>
      </c>
    </row>
    <row r="40" spans="1:15" x14ac:dyDescent="0.25">
      <c r="A40" t="s">
        <v>53</v>
      </c>
      <c r="B40" s="2">
        <v>45401</v>
      </c>
      <c r="C40" s="2">
        <v>45418</v>
      </c>
      <c r="D40" t="s">
        <v>646</v>
      </c>
      <c r="E40" t="s">
        <v>651</v>
      </c>
      <c r="F40" t="s">
        <v>663</v>
      </c>
      <c r="G40" t="s">
        <v>703</v>
      </c>
      <c r="H40" t="s">
        <v>708</v>
      </c>
      <c r="I40" t="s">
        <v>720</v>
      </c>
      <c r="J40" t="s">
        <v>728</v>
      </c>
      <c r="K40" t="s">
        <v>772</v>
      </c>
      <c r="L40">
        <v>865.33</v>
      </c>
      <c r="M40">
        <v>1395.64</v>
      </c>
      <c r="N40">
        <v>0.17499999999999999</v>
      </c>
      <c r="O40">
        <v>13</v>
      </c>
    </row>
    <row r="41" spans="1:15" x14ac:dyDescent="0.25">
      <c r="A41" t="s">
        <v>54</v>
      </c>
      <c r="B41" s="2">
        <v>45094</v>
      </c>
      <c r="C41" s="2">
        <v>45101</v>
      </c>
      <c r="D41" t="s">
        <v>648</v>
      </c>
      <c r="E41" t="s">
        <v>660</v>
      </c>
      <c r="F41" t="s">
        <v>686</v>
      </c>
      <c r="G41" t="s">
        <v>701</v>
      </c>
      <c r="H41" t="s">
        <v>707</v>
      </c>
      <c r="I41" t="s">
        <v>714</v>
      </c>
      <c r="J41" t="s">
        <v>728</v>
      </c>
      <c r="K41" t="s">
        <v>773</v>
      </c>
      <c r="L41">
        <v>313.99</v>
      </c>
      <c r="M41">
        <v>454.42</v>
      </c>
      <c r="N41">
        <v>0.129</v>
      </c>
      <c r="O41">
        <v>9</v>
      </c>
    </row>
    <row r="42" spans="1:15" x14ac:dyDescent="0.25">
      <c r="A42" t="s">
        <v>55</v>
      </c>
      <c r="B42" s="2">
        <v>45531</v>
      </c>
      <c r="C42" s="2">
        <v>45554</v>
      </c>
      <c r="D42" t="s">
        <v>649</v>
      </c>
      <c r="E42" t="s">
        <v>656</v>
      </c>
      <c r="F42" t="s">
        <v>671</v>
      </c>
      <c r="G42" t="s">
        <v>705</v>
      </c>
      <c r="H42" t="s">
        <v>711</v>
      </c>
      <c r="I42" t="s">
        <v>726</v>
      </c>
      <c r="J42" t="s">
        <v>732</v>
      </c>
      <c r="K42" t="s">
        <v>774</v>
      </c>
      <c r="L42">
        <v>1024.01</v>
      </c>
      <c r="M42">
        <v>1580.97</v>
      </c>
      <c r="N42">
        <v>3.6999999999999998E-2</v>
      </c>
      <c r="O42">
        <v>27</v>
      </c>
    </row>
    <row r="43" spans="1:15" x14ac:dyDescent="0.25">
      <c r="A43" t="s">
        <v>56</v>
      </c>
      <c r="B43" s="2">
        <v>45302</v>
      </c>
      <c r="C43" s="2">
        <v>45324</v>
      </c>
      <c r="D43" t="s">
        <v>646</v>
      </c>
      <c r="E43" t="s">
        <v>661</v>
      </c>
      <c r="F43" t="s">
        <v>687</v>
      </c>
      <c r="G43" t="s">
        <v>704</v>
      </c>
      <c r="H43" t="s">
        <v>708</v>
      </c>
      <c r="I43" t="s">
        <v>723</v>
      </c>
      <c r="J43" t="s">
        <v>729</v>
      </c>
      <c r="K43" t="s">
        <v>775</v>
      </c>
      <c r="L43">
        <v>1206.2</v>
      </c>
      <c r="M43">
        <v>1759.79</v>
      </c>
      <c r="N43">
        <v>0</v>
      </c>
      <c r="O43">
        <v>6</v>
      </c>
    </row>
    <row r="44" spans="1:15" x14ac:dyDescent="0.25">
      <c r="A44" t="s">
        <v>57</v>
      </c>
      <c r="B44" s="2">
        <v>45590</v>
      </c>
      <c r="C44" s="2">
        <v>45610</v>
      </c>
      <c r="D44" t="s">
        <v>646</v>
      </c>
      <c r="E44" t="s">
        <v>650</v>
      </c>
      <c r="F44" t="s">
        <v>675</v>
      </c>
      <c r="G44" t="s">
        <v>701</v>
      </c>
      <c r="H44" t="s">
        <v>711</v>
      </c>
      <c r="I44" t="s">
        <v>722</v>
      </c>
      <c r="J44" t="s">
        <v>728</v>
      </c>
      <c r="K44" t="s">
        <v>776</v>
      </c>
      <c r="L44">
        <v>1396.48</v>
      </c>
      <c r="M44">
        <v>3204.5</v>
      </c>
      <c r="N44">
        <v>0.318</v>
      </c>
      <c r="O44">
        <v>14</v>
      </c>
    </row>
    <row r="45" spans="1:15" x14ac:dyDescent="0.25">
      <c r="A45" t="s">
        <v>58</v>
      </c>
      <c r="B45" s="2">
        <v>45806</v>
      </c>
      <c r="C45" s="2">
        <v>45828</v>
      </c>
      <c r="D45" t="s">
        <v>649</v>
      </c>
      <c r="E45" t="s">
        <v>656</v>
      </c>
      <c r="F45" t="s">
        <v>671</v>
      </c>
      <c r="G45" t="s">
        <v>701</v>
      </c>
      <c r="H45" t="s">
        <v>711</v>
      </c>
      <c r="I45" t="s">
        <v>720</v>
      </c>
      <c r="J45" t="s">
        <v>728</v>
      </c>
      <c r="K45" t="s">
        <v>777</v>
      </c>
      <c r="L45">
        <v>483.47</v>
      </c>
      <c r="M45">
        <v>1135.43</v>
      </c>
      <c r="N45">
        <v>0.14599999999999999</v>
      </c>
      <c r="O45">
        <v>11</v>
      </c>
    </row>
    <row r="46" spans="1:15" x14ac:dyDescent="0.25">
      <c r="A46" t="s">
        <v>59</v>
      </c>
      <c r="B46" s="2">
        <v>45432</v>
      </c>
      <c r="C46" s="2">
        <v>45445</v>
      </c>
      <c r="D46" t="s">
        <v>648</v>
      </c>
      <c r="E46" t="s">
        <v>653</v>
      </c>
      <c r="F46" t="s">
        <v>688</v>
      </c>
      <c r="G46" t="s">
        <v>706</v>
      </c>
      <c r="H46" t="s">
        <v>709</v>
      </c>
      <c r="I46" t="s">
        <v>723</v>
      </c>
      <c r="J46" t="s">
        <v>727</v>
      </c>
      <c r="K46" t="s">
        <v>778</v>
      </c>
      <c r="L46">
        <v>675.43</v>
      </c>
      <c r="M46">
        <v>996.36</v>
      </c>
      <c r="N46">
        <v>0.182</v>
      </c>
      <c r="O46">
        <v>22</v>
      </c>
    </row>
    <row r="47" spans="1:15" x14ac:dyDescent="0.25">
      <c r="A47" t="s">
        <v>60</v>
      </c>
      <c r="B47" s="2">
        <v>45035</v>
      </c>
      <c r="C47" s="2">
        <v>45046</v>
      </c>
      <c r="D47" t="s">
        <v>647</v>
      </c>
      <c r="E47" t="s">
        <v>654</v>
      </c>
      <c r="F47" t="s">
        <v>680</v>
      </c>
      <c r="G47" t="s">
        <v>705</v>
      </c>
      <c r="H47" t="s">
        <v>707</v>
      </c>
      <c r="I47" t="s">
        <v>720</v>
      </c>
      <c r="J47" t="s">
        <v>729</v>
      </c>
      <c r="K47" t="s">
        <v>779</v>
      </c>
      <c r="L47">
        <v>826.55</v>
      </c>
      <c r="M47">
        <v>1397.05</v>
      </c>
      <c r="N47">
        <v>0.16900000000000001</v>
      </c>
      <c r="O47">
        <v>28</v>
      </c>
    </row>
    <row r="48" spans="1:15" x14ac:dyDescent="0.25">
      <c r="A48" t="s">
        <v>61</v>
      </c>
      <c r="B48" s="2">
        <v>45100</v>
      </c>
      <c r="C48" s="2">
        <v>45110</v>
      </c>
      <c r="D48" t="s">
        <v>646</v>
      </c>
      <c r="E48" t="s">
        <v>651</v>
      </c>
      <c r="F48" t="s">
        <v>669</v>
      </c>
      <c r="G48" t="s">
        <v>704</v>
      </c>
      <c r="H48" t="s">
        <v>708</v>
      </c>
      <c r="I48" t="s">
        <v>713</v>
      </c>
      <c r="J48" t="s">
        <v>728</v>
      </c>
      <c r="K48" t="s">
        <v>780</v>
      </c>
      <c r="L48">
        <v>337.75</v>
      </c>
      <c r="M48">
        <v>548.89</v>
      </c>
      <c r="N48">
        <v>0</v>
      </c>
      <c r="O48">
        <v>13</v>
      </c>
    </row>
    <row r="49" spans="1:15" x14ac:dyDescent="0.25">
      <c r="A49" t="s">
        <v>62</v>
      </c>
      <c r="B49" s="2">
        <v>45426</v>
      </c>
      <c r="C49" s="2">
        <v>45440</v>
      </c>
      <c r="D49" t="s">
        <v>649</v>
      </c>
      <c r="E49" t="s">
        <v>658</v>
      </c>
      <c r="F49" t="s">
        <v>674</v>
      </c>
      <c r="G49" t="s">
        <v>704</v>
      </c>
      <c r="H49" t="s">
        <v>707</v>
      </c>
      <c r="I49" t="s">
        <v>717</v>
      </c>
      <c r="J49" t="s">
        <v>729</v>
      </c>
      <c r="K49" t="s">
        <v>781</v>
      </c>
      <c r="L49">
        <v>1421.14</v>
      </c>
      <c r="M49">
        <v>3524</v>
      </c>
      <c r="N49">
        <v>0</v>
      </c>
      <c r="O49">
        <v>31</v>
      </c>
    </row>
    <row r="50" spans="1:15" x14ac:dyDescent="0.25">
      <c r="A50" t="s">
        <v>63</v>
      </c>
      <c r="B50" s="2">
        <v>45579</v>
      </c>
      <c r="C50" s="2">
        <v>45604</v>
      </c>
      <c r="D50" t="s">
        <v>646</v>
      </c>
      <c r="E50" t="s">
        <v>651</v>
      </c>
      <c r="F50" t="s">
        <v>665</v>
      </c>
      <c r="G50" t="s">
        <v>706</v>
      </c>
      <c r="H50" t="s">
        <v>708</v>
      </c>
      <c r="I50" t="s">
        <v>719</v>
      </c>
      <c r="J50" t="s">
        <v>729</v>
      </c>
      <c r="K50" t="s">
        <v>782</v>
      </c>
      <c r="L50">
        <v>859.35</v>
      </c>
      <c r="M50">
        <v>1825.61</v>
      </c>
      <c r="N50">
        <v>0.187</v>
      </c>
      <c r="O50">
        <v>24</v>
      </c>
    </row>
    <row r="51" spans="1:15" x14ac:dyDescent="0.25">
      <c r="A51" t="s">
        <v>64</v>
      </c>
      <c r="B51" s="2">
        <v>45117</v>
      </c>
      <c r="C51" s="2">
        <v>45139</v>
      </c>
      <c r="D51" t="s">
        <v>649</v>
      </c>
      <c r="E51" t="s">
        <v>657</v>
      </c>
      <c r="F51" t="s">
        <v>673</v>
      </c>
      <c r="G51" t="s">
        <v>704</v>
      </c>
      <c r="H51" t="s">
        <v>709</v>
      </c>
      <c r="I51" t="s">
        <v>717</v>
      </c>
      <c r="J51" t="s">
        <v>728</v>
      </c>
      <c r="K51" t="s">
        <v>783</v>
      </c>
      <c r="L51">
        <v>1303.56</v>
      </c>
      <c r="M51">
        <v>1791.37</v>
      </c>
      <c r="N51">
        <v>0.126</v>
      </c>
      <c r="O51">
        <v>22</v>
      </c>
    </row>
    <row r="52" spans="1:15" x14ac:dyDescent="0.25">
      <c r="A52" t="s">
        <v>65</v>
      </c>
      <c r="B52" s="2">
        <v>45602</v>
      </c>
      <c r="C52" s="2">
        <v>45618</v>
      </c>
      <c r="D52" t="s">
        <v>648</v>
      </c>
      <c r="E52" t="s">
        <v>653</v>
      </c>
      <c r="F52" t="s">
        <v>667</v>
      </c>
      <c r="G52" t="s">
        <v>703</v>
      </c>
      <c r="H52" t="s">
        <v>710</v>
      </c>
      <c r="I52" t="s">
        <v>726</v>
      </c>
      <c r="J52" t="s">
        <v>733</v>
      </c>
      <c r="K52" t="s">
        <v>784</v>
      </c>
      <c r="L52">
        <v>1454.11</v>
      </c>
      <c r="M52">
        <v>2629.75</v>
      </c>
      <c r="N52">
        <v>0.29199999999999998</v>
      </c>
      <c r="O52">
        <v>8</v>
      </c>
    </row>
    <row r="53" spans="1:15" x14ac:dyDescent="0.25">
      <c r="A53" t="s">
        <v>66</v>
      </c>
      <c r="B53" s="2">
        <v>45582</v>
      </c>
      <c r="C53" s="2">
        <v>45602</v>
      </c>
      <c r="D53" t="s">
        <v>647</v>
      </c>
      <c r="E53" t="s">
        <v>654</v>
      </c>
      <c r="F53" t="s">
        <v>668</v>
      </c>
      <c r="G53" t="s">
        <v>706</v>
      </c>
      <c r="H53" t="s">
        <v>710</v>
      </c>
      <c r="I53" t="s">
        <v>719</v>
      </c>
      <c r="J53" t="s">
        <v>732</v>
      </c>
      <c r="K53" t="s">
        <v>785</v>
      </c>
      <c r="L53">
        <v>72.94</v>
      </c>
      <c r="M53">
        <v>106.3</v>
      </c>
      <c r="N53">
        <v>0.29499999999999998</v>
      </c>
      <c r="O53">
        <v>8</v>
      </c>
    </row>
    <row r="54" spans="1:15" x14ac:dyDescent="0.25">
      <c r="A54" t="s">
        <v>67</v>
      </c>
      <c r="B54" s="2">
        <v>45016</v>
      </c>
      <c r="C54" s="2">
        <v>45021</v>
      </c>
      <c r="D54" t="s">
        <v>646</v>
      </c>
      <c r="E54" t="s">
        <v>650</v>
      </c>
      <c r="F54" t="s">
        <v>678</v>
      </c>
      <c r="G54" t="s">
        <v>702</v>
      </c>
      <c r="H54" t="s">
        <v>709</v>
      </c>
      <c r="I54" t="s">
        <v>717</v>
      </c>
      <c r="J54" t="s">
        <v>731</v>
      </c>
      <c r="K54" t="s">
        <v>786</v>
      </c>
      <c r="L54">
        <v>533.26</v>
      </c>
      <c r="M54">
        <v>385.72</v>
      </c>
      <c r="N54">
        <v>0</v>
      </c>
      <c r="O54">
        <v>15</v>
      </c>
    </row>
    <row r="55" spans="1:15" x14ac:dyDescent="0.25">
      <c r="A55" t="s">
        <v>68</v>
      </c>
      <c r="B55" s="2">
        <v>45678</v>
      </c>
      <c r="C55" s="2">
        <v>45704</v>
      </c>
      <c r="D55" t="s">
        <v>649</v>
      </c>
      <c r="E55" t="s">
        <v>657</v>
      </c>
      <c r="F55" t="s">
        <v>679</v>
      </c>
      <c r="G55" t="s">
        <v>701</v>
      </c>
      <c r="H55" t="s">
        <v>710</v>
      </c>
      <c r="I55" t="s">
        <v>719</v>
      </c>
      <c r="J55" t="s">
        <v>731</v>
      </c>
      <c r="K55" t="s">
        <v>787</v>
      </c>
      <c r="L55">
        <v>204.11</v>
      </c>
      <c r="M55">
        <v>236.87</v>
      </c>
      <c r="N55">
        <v>0.182</v>
      </c>
      <c r="O55">
        <v>13</v>
      </c>
    </row>
    <row r="56" spans="1:15" x14ac:dyDescent="0.25">
      <c r="A56" t="s">
        <v>69</v>
      </c>
      <c r="B56" s="2">
        <v>45168</v>
      </c>
      <c r="C56" s="2">
        <v>45170</v>
      </c>
      <c r="D56" t="s">
        <v>649</v>
      </c>
      <c r="E56" t="s">
        <v>656</v>
      </c>
      <c r="F56" t="s">
        <v>684</v>
      </c>
      <c r="G56" t="s">
        <v>701</v>
      </c>
      <c r="H56" t="s">
        <v>711</v>
      </c>
      <c r="I56" t="s">
        <v>725</v>
      </c>
      <c r="J56" t="s">
        <v>729</v>
      </c>
      <c r="K56" t="s">
        <v>788</v>
      </c>
      <c r="L56">
        <v>44.42</v>
      </c>
      <c r="M56">
        <v>41.9</v>
      </c>
      <c r="N56">
        <v>0.14399999999999999</v>
      </c>
      <c r="O56">
        <v>6</v>
      </c>
    </row>
    <row r="57" spans="1:15" x14ac:dyDescent="0.25">
      <c r="A57" t="s">
        <v>70</v>
      </c>
      <c r="B57" s="2">
        <v>45753</v>
      </c>
      <c r="C57" s="2">
        <v>45777</v>
      </c>
      <c r="D57" t="s">
        <v>648</v>
      </c>
      <c r="E57" t="s">
        <v>655</v>
      </c>
      <c r="F57" t="s">
        <v>672</v>
      </c>
      <c r="G57" t="s">
        <v>702</v>
      </c>
      <c r="H57" t="s">
        <v>708</v>
      </c>
      <c r="I57" t="s">
        <v>723</v>
      </c>
      <c r="J57" t="s">
        <v>732</v>
      </c>
      <c r="K57" t="s">
        <v>789</v>
      </c>
      <c r="L57">
        <v>855.78</v>
      </c>
      <c r="M57">
        <v>977.38</v>
      </c>
      <c r="N57">
        <v>0.14699999999999999</v>
      </c>
      <c r="O57">
        <v>38</v>
      </c>
    </row>
    <row r="58" spans="1:15" x14ac:dyDescent="0.25">
      <c r="A58" t="s">
        <v>71</v>
      </c>
      <c r="B58" s="2">
        <v>45697</v>
      </c>
      <c r="C58" s="2">
        <v>45717</v>
      </c>
      <c r="D58" t="s">
        <v>648</v>
      </c>
      <c r="E58" t="s">
        <v>655</v>
      </c>
      <c r="F58" t="s">
        <v>670</v>
      </c>
      <c r="G58" t="s">
        <v>701</v>
      </c>
      <c r="H58" t="s">
        <v>710</v>
      </c>
      <c r="I58" t="s">
        <v>717</v>
      </c>
      <c r="J58" t="s">
        <v>731</v>
      </c>
      <c r="K58" t="s">
        <v>790</v>
      </c>
      <c r="L58">
        <v>1154.6400000000001</v>
      </c>
      <c r="M58">
        <v>2794.13</v>
      </c>
      <c r="N58">
        <v>3.5000000000000003E-2</v>
      </c>
      <c r="O58">
        <v>11</v>
      </c>
    </row>
    <row r="59" spans="1:15" x14ac:dyDescent="0.25">
      <c r="A59" t="s">
        <v>72</v>
      </c>
      <c r="B59" s="2">
        <v>45643</v>
      </c>
      <c r="C59" s="2">
        <v>45644</v>
      </c>
      <c r="D59" t="s">
        <v>649</v>
      </c>
      <c r="E59" t="s">
        <v>656</v>
      </c>
      <c r="F59" t="s">
        <v>684</v>
      </c>
      <c r="G59" t="s">
        <v>702</v>
      </c>
      <c r="H59" t="s">
        <v>707</v>
      </c>
      <c r="I59" t="s">
        <v>716</v>
      </c>
      <c r="J59" t="s">
        <v>733</v>
      </c>
      <c r="K59" t="s">
        <v>791</v>
      </c>
      <c r="L59">
        <v>346.82</v>
      </c>
      <c r="M59">
        <v>701.95</v>
      </c>
      <c r="N59">
        <v>0.14699999999999999</v>
      </c>
      <c r="O59">
        <v>8</v>
      </c>
    </row>
    <row r="60" spans="1:15" x14ac:dyDescent="0.25">
      <c r="A60" t="s">
        <v>73</v>
      </c>
      <c r="B60" s="2">
        <v>45817</v>
      </c>
      <c r="C60" s="2">
        <v>45826</v>
      </c>
      <c r="D60" t="s">
        <v>649</v>
      </c>
      <c r="E60" t="s">
        <v>657</v>
      </c>
      <c r="F60" t="s">
        <v>673</v>
      </c>
      <c r="G60" t="s">
        <v>705</v>
      </c>
      <c r="H60" t="s">
        <v>709</v>
      </c>
      <c r="I60" t="s">
        <v>722</v>
      </c>
      <c r="J60" t="s">
        <v>733</v>
      </c>
      <c r="K60" t="s">
        <v>792</v>
      </c>
      <c r="L60">
        <v>1225.5</v>
      </c>
      <c r="M60">
        <v>-5.27</v>
      </c>
      <c r="N60">
        <v>7.4999999999999997E-2</v>
      </c>
      <c r="O60">
        <v>56</v>
      </c>
    </row>
    <row r="61" spans="1:15" x14ac:dyDescent="0.25">
      <c r="A61" t="s">
        <v>74</v>
      </c>
      <c r="B61" s="2">
        <v>45779</v>
      </c>
      <c r="C61" s="2">
        <v>45790</v>
      </c>
      <c r="D61" t="s">
        <v>646</v>
      </c>
      <c r="E61" t="s">
        <v>650</v>
      </c>
      <c r="F61" t="s">
        <v>678</v>
      </c>
      <c r="G61" t="s">
        <v>705</v>
      </c>
      <c r="H61" t="s">
        <v>708</v>
      </c>
      <c r="I61" t="s">
        <v>720</v>
      </c>
      <c r="J61" t="s">
        <v>733</v>
      </c>
      <c r="K61" t="s">
        <v>793</v>
      </c>
      <c r="L61">
        <v>1057.5999999999999</v>
      </c>
      <c r="M61">
        <v>1437.06</v>
      </c>
      <c r="N61">
        <v>0.20499999999999999</v>
      </c>
      <c r="O61">
        <v>4</v>
      </c>
    </row>
    <row r="62" spans="1:15" x14ac:dyDescent="0.25">
      <c r="A62" t="s">
        <v>75</v>
      </c>
      <c r="B62" s="2">
        <v>45361</v>
      </c>
      <c r="C62" s="2">
        <v>45391</v>
      </c>
      <c r="D62" t="s">
        <v>649</v>
      </c>
      <c r="E62" t="s">
        <v>657</v>
      </c>
      <c r="F62" t="s">
        <v>679</v>
      </c>
      <c r="G62" t="s">
        <v>701</v>
      </c>
      <c r="H62" t="s">
        <v>711</v>
      </c>
      <c r="I62" t="s">
        <v>714</v>
      </c>
      <c r="J62" t="s">
        <v>727</v>
      </c>
      <c r="K62" t="s">
        <v>794</v>
      </c>
      <c r="L62">
        <v>1176.56</v>
      </c>
      <c r="M62">
        <v>1911.89</v>
      </c>
      <c r="N62">
        <v>0.11899999999999999</v>
      </c>
      <c r="O62">
        <v>20</v>
      </c>
    </row>
    <row r="63" spans="1:15" x14ac:dyDescent="0.25">
      <c r="A63" t="s">
        <v>76</v>
      </c>
      <c r="B63" s="2">
        <v>45910</v>
      </c>
      <c r="C63" s="2">
        <v>45912</v>
      </c>
      <c r="D63" t="s">
        <v>647</v>
      </c>
      <c r="E63" t="s">
        <v>652</v>
      </c>
      <c r="F63" t="s">
        <v>689</v>
      </c>
      <c r="G63" t="s">
        <v>704</v>
      </c>
      <c r="H63" t="s">
        <v>708</v>
      </c>
      <c r="I63" t="s">
        <v>719</v>
      </c>
      <c r="J63" t="s">
        <v>727</v>
      </c>
      <c r="K63" t="s">
        <v>795</v>
      </c>
      <c r="L63">
        <v>1470.15</v>
      </c>
      <c r="M63">
        <v>2593.7800000000002</v>
      </c>
      <c r="N63">
        <v>0.11</v>
      </c>
      <c r="O63">
        <v>12</v>
      </c>
    </row>
    <row r="64" spans="1:15" x14ac:dyDescent="0.25">
      <c r="A64" t="s">
        <v>77</v>
      </c>
      <c r="B64" s="2">
        <v>45774</v>
      </c>
      <c r="C64" s="2">
        <v>45802</v>
      </c>
      <c r="D64" t="s">
        <v>649</v>
      </c>
      <c r="E64" t="s">
        <v>657</v>
      </c>
      <c r="F64" t="s">
        <v>690</v>
      </c>
      <c r="G64" t="s">
        <v>705</v>
      </c>
      <c r="H64" t="s">
        <v>709</v>
      </c>
      <c r="I64" t="s">
        <v>714</v>
      </c>
      <c r="J64" t="s">
        <v>730</v>
      </c>
      <c r="K64" t="s">
        <v>796</v>
      </c>
      <c r="L64">
        <v>603.45000000000005</v>
      </c>
      <c r="M64">
        <v>1244.08</v>
      </c>
      <c r="N64">
        <v>0.2</v>
      </c>
      <c r="O64">
        <v>11</v>
      </c>
    </row>
    <row r="65" spans="1:15" x14ac:dyDescent="0.25">
      <c r="A65" t="s">
        <v>78</v>
      </c>
      <c r="B65" s="2">
        <v>45598</v>
      </c>
      <c r="C65" s="2">
        <v>45614</v>
      </c>
      <c r="D65" t="s">
        <v>647</v>
      </c>
      <c r="E65" t="s">
        <v>654</v>
      </c>
      <c r="F65" t="s">
        <v>691</v>
      </c>
      <c r="G65" t="s">
        <v>705</v>
      </c>
      <c r="H65" t="s">
        <v>710</v>
      </c>
      <c r="I65" t="s">
        <v>719</v>
      </c>
      <c r="J65" t="s">
        <v>732</v>
      </c>
      <c r="K65" t="s">
        <v>797</v>
      </c>
      <c r="L65">
        <v>1233.58</v>
      </c>
      <c r="M65">
        <v>1912.51</v>
      </c>
      <c r="N65">
        <v>0.255</v>
      </c>
      <c r="O65">
        <v>51</v>
      </c>
    </row>
    <row r="66" spans="1:15" x14ac:dyDescent="0.25">
      <c r="A66" t="s">
        <v>79</v>
      </c>
      <c r="B66" s="2">
        <v>44972</v>
      </c>
      <c r="C66" s="2">
        <v>44983</v>
      </c>
      <c r="D66" t="s">
        <v>646</v>
      </c>
      <c r="E66" t="s">
        <v>661</v>
      </c>
      <c r="F66" t="s">
        <v>682</v>
      </c>
      <c r="G66" t="s">
        <v>703</v>
      </c>
      <c r="H66" t="s">
        <v>707</v>
      </c>
      <c r="I66" t="s">
        <v>723</v>
      </c>
      <c r="J66" t="s">
        <v>731</v>
      </c>
      <c r="K66" t="s">
        <v>798</v>
      </c>
      <c r="L66">
        <v>498.5</v>
      </c>
      <c r="M66">
        <v>755.87</v>
      </c>
      <c r="N66">
        <v>0.13</v>
      </c>
      <c r="O66">
        <v>40</v>
      </c>
    </row>
    <row r="67" spans="1:15" x14ac:dyDescent="0.25">
      <c r="A67" t="s">
        <v>80</v>
      </c>
      <c r="B67" s="2">
        <v>45263</v>
      </c>
      <c r="C67" s="2">
        <v>45286</v>
      </c>
      <c r="D67" t="s">
        <v>648</v>
      </c>
      <c r="E67" t="s">
        <v>655</v>
      </c>
      <c r="F67" t="s">
        <v>692</v>
      </c>
      <c r="G67" t="s">
        <v>702</v>
      </c>
      <c r="H67" t="s">
        <v>707</v>
      </c>
      <c r="I67" t="s">
        <v>719</v>
      </c>
      <c r="J67" t="s">
        <v>730</v>
      </c>
      <c r="K67" t="s">
        <v>799</v>
      </c>
      <c r="L67">
        <v>1303.1099999999999</v>
      </c>
      <c r="M67">
        <v>1145.67</v>
      </c>
      <c r="N67">
        <v>0.184</v>
      </c>
      <c r="O67">
        <v>13</v>
      </c>
    </row>
    <row r="68" spans="1:15" x14ac:dyDescent="0.25">
      <c r="A68" t="s">
        <v>81</v>
      </c>
      <c r="B68" s="2">
        <v>45004</v>
      </c>
      <c r="C68" s="2">
        <v>45025</v>
      </c>
      <c r="D68" t="s">
        <v>649</v>
      </c>
      <c r="E68" t="s">
        <v>658</v>
      </c>
      <c r="F68" t="s">
        <v>693</v>
      </c>
      <c r="G68" t="s">
        <v>704</v>
      </c>
      <c r="H68" t="s">
        <v>707</v>
      </c>
      <c r="I68" t="s">
        <v>716</v>
      </c>
      <c r="J68" t="s">
        <v>733</v>
      </c>
      <c r="K68" t="s">
        <v>800</v>
      </c>
      <c r="L68">
        <v>1082.17</v>
      </c>
      <c r="M68">
        <v>1234.0999999999999</v>
      </c>
      <c r="N68">
        <v>0.189</v>
      </c>
      <c r="O68">
        <v>16</v>
      </c>
    </row>
    <row r="69" spans="1:15" x14ac:dyDescent="0.25">
      <c r="A69" t="s">
        <v>82</v>
      </c>
      <c r="B69" s="2">
        <v>45434</v>
      </c>
      <c r="C69" s="2">
        <v>45449</v>
      </c>
      <c r="D69" t="s">
        <v>647</v>
      </c>
      <c r="E69" t="s">
        <v>652</v>
      </c>
      <c r="F69" t="s">
        <v>694</v>
      </c>
      <c r="G69" t="s">
        <v>701</v>
      </c>
      <c r="H69" t="s">
        <v>710</v>
      </c>
      <c r="I69" t="s">
        <v>712</v>
      </c>
      <c r="J69" t="s">
        <v>732</v>
      </c>
      <c r="K69" t="s">
        <v>801</v>
      </c>
      <c r="L69">
        <v>673.88</v>
      </c>
      <c r="M69">
        <v>1228.01</v>
      </c>
      <c r="N69">
        <v>0.105</v>
      </c>
      <c r="O69">
        <v>13</v>
      </c>
    </row>
    <row r="70" spans="1:15" x14ac:dyDescent="0.25">
      <c r="A70" t="s">
        <v>83</v>
      </c>
      <c r="B70" s="2">
        <v>45157</v>
      </c>
      <c r="C70" s="2">
        <v>45176</v>
      </c>
      <c r="D70" t="s">
        <v>646</v>
      </c>
      <c r="E70" t="s">
        <v>661</v>
      </c>
      <c r="F70" t="s">
        <v>682</v>
      </c>
      <c r="G70" t="s">
        <v>706</v>
      </c>
      <c r="H70" t="s">
        <v>707</v>
      </c>
      <c r="I70" t="s">
        <v>726</v>
      </c>
      <c r="J70" t="s">
        <v>732</v>
      </c>
      <c r="K70" t="s">
        <v>802</v>
      </c>
      <c r="L70">
        <v>494.61</v>
      </c>
      <c r="M70">
        <v>605.23</v>
      </c>
      <c r="N70">
        <v>0.20399999999999999</v>
      </c>
      <c r="O70">
        <v>18</v>
      </c>
    </row>
    <row r="71" spans="1:15" x14ac:dyDescent="0.25">
      <c r="A71" t="s">
        <v>84</v>
      </c>
      <c r="B71" s="2">
        <v>45037</v>
      </c>
      <c r="C71" s="2">
        <v>45056</v>
      </c>
      <c r="D71" t="s">
        <v>647</v>
      </c>
      <c r="E71" t="s">
        <v>659</v>
      </c>
      <c r="F71" t="s">
        <v>685</v>
      </c>
      <c r="G71" t="s">
        <v>701</v>
      </c>
      <c r="H71" t="s">
        <v>707</v>
      </c>
      <c r="I71" t="s">
        <v>720</v>
      </c>
      <c r="J71" t="s">
        <v>727</v>
      </c>
      <c r="K71" t="s">
        <v>803</v>
      </c>
      <c r="L71">
        <v>882.33</v>
      </c>
      <c r="M71">
        <v>1880.15</v>
      </c>
      <c r="N71">
        <v>0.05</v>
      </c>
      <c r="O71">
        <v>5</v>
      </c>
    </row>
    <row r="72" spans="1:15" x14ac:dyDescent="0.25">
      <c r="A72" t="s">
        <v>85</v>
      </c>
      <c r="B72" s="2">
        <v>45369</v>
      </c>
      <c r="C72" s="2">
        <v>45372</v>
      </c>
      <c r="D72" t="s">
        <v>649</v>
      </c>
      <c r="E72" t="s">
        <v>656</v>
      </c>
      <c r="F72" t="s">
        <v>684</v>
      </c>
      <c r="G72" t="s">
        <v>705</v>
      </c>
      <c r="H72" t="s">
        <v>708</v>
      </c>
      <c r="I72" t="s">
        <v>724</v>
      </c>
      <c r="J72" t="s">
        <v>733</v>
      </c>
      <c r="K72" t="s">
        <v>804</v>
      </c>
      <c r="L72">
        <v>910.63</v>
      </c>
      <c r="M72">
        <v>1269.4000000000001</v>
      </c>
      <c r="N72">
        <v>6.8000000000000005E-2</v>
      </c>
      <c r="O72">
        <v>9</v>
      </c>
    </row>
    <row r="73" spans="1:15" x14ac:dyDescent="0.25">
      <c r="A73" t="s">
        <v>86</v>
      </c>
      <c r="B73" s="2">
        <v>45756</v>
      </c>
      <c r="C73" s="2">
        <v>45783</v>
      </c>
      <c r="D73" t="s">
        <v>648</v>
      </c>
      <c r="E73" t="s">
        <v>655</v>
      </c>
      <c r="F73" t="s">
        <v>672</v>
      </c>
      <c r="G73" t="s">
        <v>706</v>
      </c>
      <c r="H73" t="s">
        <v>709</v>
      </c>
      <c r="I73" t="s">
        <v>721</v>
      </c>
      <c r="J73" t="s">
        <v>731</v>
      </c>
      <c r="K73" t="s">
        <v>805</v>
      </c>
      <c r="L73">
        <v>264.19</v>
      </c>
      <c r="M73">
        <v>620.92999999999995</v>
      </c>
      <c r="N73">
        <v>0.14199999999999999</v>
      </c>
      <c r="O73">
        <v>12</v>
      </c>
    </row>
    <row r="74" spans="1:15" x14ac:dyDescent="0.25">
      <c r="A74" t="s">
        <v>87</v>
      </c>
      <c r="B74" s="2">
        <v>45394</v>
      </c>
      <c r="C74" s="2">
        <v>45419</v>
      </c>
      <c r="D74" t="s">
        <v>646</v>
      </c>
      <c r="E74" t="s">
        <v>661</v>
      </c>
      <c r="F74" t="s">
        <v>682</v>
      </c>
      <c r="G74" t="s">
        <v>702</v>
      </c>
      <c r="H74" t="s">
        <v>710</v>
      </c>
      <c r="I74" t="s">
        <v>720</v>
      </c>
      <c r="J74" t="s">
        <v>731</v>
      </c>
      <c r="K74" t="s">
        <v>806</v>
      </c>
      <c r="L74">
        <v>1376.51</v>
      </c>
      <c r="M74">
        <v>1455.91</v>
      </c>
      <c r="N74">
        <v>0.185</v>
      </c>
      <c r="O74">
        <v>17</v>
      </c>
    </row>
    <row r="75" spans="1:15" x14ac:dyDescent="0.25">
      <c r="A75" t="s">
        <v>88</v>
      </c>
      <c r="B75" s="2">
        <v>45641</v>
      </c>
      <c r="C75" s="2">
        <v>45646</v>
      </c>
      <c r="D75" t="s">
        <v>647</v>
      </c>
      <c r="E75" t="s">
        <v>659</v>
      </c>
      <c r="F75" t="s">
        <v>676</v>
      </c>
      <c r="G75" t="s">
        <v>705</v>
      </c>
      <c r="H75" t="s">
        <v>711</v>
      </c>
      <c r="I75" t="s">
        <v>713</v>
      </c>
      <c r="J75" t="s">
        <v>729</v>
      </c>
      <c r="K75" t="s">
        <v>807</v>
      </c>
      <c r="L75">
        <v>717.55</v>
      </c>
      <c r="M75">
        <v>546.42999999999995</v>
      </c>
      <c r="N75">
        <v>4.7E-2</v>
      </c>
      <c r="O75">
        <v>18</v>
      </c>
    </row>
    <row r="76" spans="1:15" x14ac:dyDescent="0.25">
      <c r="A76" t="s">
        <v>89</v>
      </c>
      <c r="B76" s="2">
        <v>45066</v>
      </c>
      <c r="C76" s="2">
        <v>45064</v>
      </c>
      <c r="D76" t="s">
        <v>646</v>
      </c>
      <c r="E76" t="s">
        <v>661</v>
      </c>
      <c r="F76" t="s">
        <v>687</v>
      </c>
      <c r="G76" t="s">
        <v>701</v>
      </c>
      <c r="H76" t="s">
        <v>710</v>
      </c>
      <c r="I76" t="s">
        <v>720</v>
      </c>
      <c r="J76" t="s">
        <v>727</v>
      </c>
      <c r="K76" t="s">
        <v>808</v>
      </c>
      <c r="L76">
        <v>917.88</v>
      </c>
      <c r="M76">
        <v>1347.92</v>
      </c>
      <c r="N76">
        <v>0.34300000000000003</v>
      </c>
      <c r="O76">
        <v>5</v>
      </c>
    </row>
    <row r="77" spans="1:15" x14ac:dyDescent="0.25">
      <c r="A77" t="s">
        <v>90</v>
      </c>
      <c r="B77" s="2">
        <v>45187</v>
      </c>
      <c r="C77" s="2">
        <v>45207</v>
      </c>
      <c r="D77" t="s">
        <v>647</v>
      </c>
      <c r="E77" t="s">
        <v>654</v>
      </c>
      <c r="F77" t="s">
        <v>680</v>
      </c>
      <c r="G77" t="s">
        <v>705</v>
      </c>
      <c r="H77" t="s">
        <v>711</v>
      </c>
      <c r="I77" t="s">
        <v>717</v>
      </c>
      <c r="J77" t="s">
        <v>727</v>
      </c>
      <c r="K77" t="s">
        <v>809</v>
      </c>
      <c r="L77">
        <v>825.64</v>
      </c>
      <c r="M77">
        <v>1108.43</v>
      </c>
      <c r="N77">
        <v>0.114</v>
      </c>
      <c r="O77">
        <v>7</v>
      </c>
    </row>
    <row r="78" spans="1:15" x14ac:dyDescent="0.25">
      <c r="A78" t="s">
        <v>91</v>
      </c>
      <c r="B78" s="2">
        <v>45532</v>
      </c>
      <c r="C78" s="2">
        <v>45560</v>
      </c>
      <c r="D78" t="s">
        <v>648</v>
      </c>
      <c r="E78" t="s">
        <v>655</v>
      </c>
      <c r="F78" t="s">
        <v>692</v>
      </c>
      <c r="G78" t="s">
        <v>703</v>
      </c>
      <c r="H78" t="s">
        <v>708</v>
      </c>
      <c r="J78" t="s">
        <v>733</v>
      </c>
      <c r="K78" t="s">
        <v>810</v>
      </c>
      <c r="L78">
        <v>1394.65</v>
      </c>
      <c r="M78">
        <v>3144.1</v>
      </c>
      <c r="N78">
        <v>0.13400000000000001</v>
      </c>
      <c r="O78">
        <v>13</v>
      </c>
    </row>
    <row r="79" spans="1:15" x14ac:dyDescent="0.25">
      <c r="A79" t="s">
        <v>92</v>
      </c>
      <c r="B79" s="2">
        <v>45473</v>
      </c>
      <c r="C79" s="2">
        <v>45471</v>
      </c>
      <c r="D79" t="s">
        <v>648</v>
      </c>
      <c r="E79" t="s">
        <v>655</v>
      </c>
      <c r="F79" t="s">
        <v>692</v>
      </c>
      <c r="G79" t="s">
        <v>705</v>
      </c>
      <c r="H79" t="s">
        <v>711</v>
      </c>
      <c r="I79" t="s">
        <v>716</v>
      </c>
      <c r="J79" t="s">
        <v>733</v>
      </c>
      <c r="K79" t="s">
        <v>811</v>
      </c>
      <c r="L79">
        <v>1112.98</v>
      </c>
      <c r="M79">
        <v>2095.73</v>
      </c>
      <c r="N79">
        <v>7.1999999999999995E-2</v>
      </c>
      <c r="O79">
        <v>17</v>
      </c>
    </row>
    <row r="80" spans="1:15" x14ac:dyDescent="0.25">
      <c r="A80" t="s">
        <v>93</v>
      </c>
      <c r="B80" s="2">
        <v>45091</v>
      </c>
      <c r="C80" s="2">
        <v>45093</v>
      </c>
      <c r="D80" t="s">
        <v>649</v>
      </c>
      <c r="E80" t="s">
        <v>658</v>
      </c>
      <c r="F80" t="s">
        <v>693</v>
      </c>
      <c r="G80" t="s">
        <v>703</v>
      </c>
      <c r="H80" t="s">
        <v>711</v>
      </c>
      <c r="I80" t="s">
        <v>723</v>
      </c>
      <c r="J80" t="s">
        <v>727</v>
      </c>
      <c r="K80" t="s">
        <v>812</v>
      </c>
      <c r="L80">
        <v>357.36</v>
      </c>
      <c r="M80">
        <v>703.62</v>
      </c>
      <c r="N80">
        <v>0.25700000000000001</v>
      </c>
      <c r="O80">
        <v>20</v>
      </c>
    </row>
    <row r="81" spans="1:15" x14ac:dyDescent="0.25">
      <c r="A81" t="s">
        <v>94</v>
      </c>
      <c r="B81" s="2">
        <v>45617</v>
      </c>
      <c r="C81" s="2">
        <v>45647</v>
      </c>
      <c r="D81" t="s">
        <v>649</v>
      </c>
      <c r="E81" t="s">
        <v>657</v>
      </c>
      <c r="F81" t="s">
        <v>673</v>
      </c>
      <c r="G81" t="s">
        <v>705</v>
      </c>
      <c r="H81" t="s">
        <v>711</v>
      </c>
      <c r="I81" t="s">
        <v>714</v>
      </c>
      <c r="J81" t="s">
        <v>732</v>
      </c>
      <c r="K81" t="s">
        <v>813</v>
      </c>
      <c r="L81">
        <v>1122.68</v>
      </c>
      <c r="M81">
        <v>1997.19</v>
      </c>
      <c r="N81">
        <v>0.186</v>
      </c>
      <c r="O81">
        <v>3</v>
      </c>
    </row>
    <row r="82" spans="1:15" x14ac:dyDescent="0.25">
      <c r="A82" t="s">
        <v>95</v>
      </c>
      <c r="B82" s="2">
        <v>44965</v>
      </c>
      <c r="C82" s="2">
        <v>44968</v>
      </c>
      <c r="D82" t="s">
        <v>646</v>
      </c>
      <c r="E82" t="s">
        <v>661</v>
      </c>
      <c r="F82" t="s">
        <v>695</v>
      </c>
      <c r="G82" t="s">
        <v>701</v>
      </c>
      <c r="H82" t="s">
        <v>711</v>
      </c>
      <c r="I82" t="s">
        <v>724</v>
      </c>
      <c r="J82" t="s">
        <v>729</v>
      </c>
      <c r="K82" t="s">
        <v>814</v>
      </c>
      <c r="L82">
        <v>1410.05</v>
      </c>
      <c r="M82">
        <v>2763.95</v>
      </c>
      <c r="N82">
        <v>0.161</v>
      </c>
      <c r="O82">
        <v>26</v>
      </c>
    </row>
    <row r="83" spans="1:15" x14ac:dyDescent="0.25">
      <c r="A83" t="s">
        <v>96</v>
      </c>
      <c r="B83" s="2">
        <v>45157</v>
      </c>
      <c r="C83" s="2">
        <v>45181</v>
      </c>
      <c r="D83" t="s">
        <v>648</v>
      </c>
      <c r="E83" t="s">
        <v>653</v>
      </c>
      <c r="F83" t="s">
        <v>688</v>
      </c>
      <c r="G83" t="s">
        <v>706</v>
      </c>
      <c r="H83" t="s">
        <v>707</v>
      </c>
      <c r="I83" t="s">
        <v>714</v>
      </c>
      <c r="J83" t="s">
        <v>728</v>
      </c>
      <c r="K83" t="s">
        <v>815</v>
      </c>
      <c r="L83">
        <v>1183.95</v>
      </c>
      <c r="M83">
        <v>1503.53</v>
      </c>
      <c r="N83">
        <v>0.24099999999999999</v>
      </c>
      <c r="O83">
        <v>16</v>
      </c>
    </row>
    <row r="84" spans="1:15" x14ac:dyDescent="0.25">
      <c r="A84" t="s">
        <v>97</v>
      </c>
      <c r="B84" s="2">
        <v>45791</v>
      </c>
      <c r="C84" s="2">
        <v>45801</v>
      </c>
      <c r="D84" t="s">
        <v>649</v>
      </c>
      <c r="E84" t="s">
        <v>657</v>
      </c>
      <c r="F84" t="s">
        <v>690</v>
      </c>
      <c r="G84" t="s">
        <v>705</v>
      </c>
      <c r="H84" t="s">
        <v>709</v>
      </c>
      <c r="I84" t="s">
        <v>723</v>
      </c>
      <c r="J84" t="s">
        <v>727</v>
      </c>
      <c r="K84" t="s">
        <v>816</v>
      </c>
      <c r="L84">
        <v>170.39</v>
      </c>
      <c r="M84">
        <v>388.04</v>
      </c>
      <c r="N84">
        <v>8.4000000000000005E-2</v>
      </c>
      <c r="O84">
        <v>15</v>
      </c>
    </row>
    <row r="85" spans="1:15" x14ac:dyDescent="0.25">
      <c r="A85" t="s">
        <v>98</v>
      </c>
      <c r="B85" s="2">
        <v>45770</v>
      </c>
      <c r="C85" s="2">
        <v>45769</v>
      </c>
      <c r="D85" t="s">
        <v>648</v>
      </c>
      <c r="E85" t="s">
        <v>660</v>
      </c>
      <c r="F85" t="s">
        <v>686</v>
      </c>
      <c r="G85" t="s">
        <v>703</v>
      </c>
      <c r="H85" t="s">
        <v>710</v>
      </c>
      <c r="I85" t="s">
        <v>726</v>
      </c>
      <c r="J85" t="s">
        <v>732</v>
      </c>
      <c r="K85" t="s">
        <v>817</v>
      </c>
      <c r="L85">
        <v>23.24</v>
      </c>
      <c r="M85">
        <v>44.57</v>
      </c>
      <c r="N85">
        <v>0.215</v>
      </c>
      <c r="O85">
        <v>15</v>
      </c>
    </row>
    <row r="86" spans="1:15" x14ac:dyDescent="0.25">
      <c r="A86" t="s">
        <v>99</v>
      </c>
      <c r="B86" s="2">
        <v>45741</v>
      </c>
      <c r="C86" s="2">
        <v>45764</v>
      </c>
      <c r="D86" t="s">
        <v>649</v>
      </c>
      <c r="E86" t="s">
        <v>658</v>
      </c>
      <c r="F86" t="s">
        <v>683</v>
      </c>
      <c r="G86" t="s">
        <v>704</v>
      </c>
      <c r="H86" t="s">
        <v>707</v>
      </c>
      <c r="I86" t="s">
        <v>722</v>
      </c>
      <c r="J86" t="s">
        <v>729</v>
      </c>
      <c r="K86" t="s">
        <v>818</v>
      </c>
      <c r="L86">
        <v>1421.19</v>
      </c>
      <c r="M86">
        <v>1808.26</v>
      </c>
      <c r="N86">
        <v>0.104</v>
      </c>
      <c r="O86">
        <v>13</v>
      </c>
    </row>
    <row r="87" spans="1:15" x14ac:dyDescent="0.25">
      <c r="A87" t="s">
        <v>100</v>
      </c>
      <c r="B87" s="2">
        <v>45282</v>
      </c>
      <c r="C87" s="2">
        <v>45283</v>
      </c>
      <c r="D87" t="s">
        <v>646</v>
      </c>
      <c r="E87" t="s">
        <v>661</v>
      </c>
      <c r="F87" t="s">
        <v>695</v>
      </c>
      <c r="G87" t="s">
        <v>703</v>
      </c>
      <c r="H87" t="s">
        <v>709</v>
      </c>
      <c r="I87" t="s">
        <v>726</v>
      </c>
      <c r="J87" t="s">
        <v>727</v>
      </c>
      <c r="K87" t="s">
        <v>819</v>
      </c>
      <c r="L87">
        <v>1186.18</v>
      </c>
      <c r="M87">
        <v>1285.0899999999999</v>
      </c>
      <c r="N87">
        <v>7.0000000000000007E-2</v>
      </c>
      <c r="O87">
        <v>11</v>
      </c>
    </row>
    <row r="88" spans="1:15" x14ac:dyDescent="0.25">
      <c r="A88" t="s">
        <v>101</v>
      </c>
      <c r="B88" s="2">
        <v>45388</v>
      </c>
      <c r="C88" s="2">
        <v>45407</v>
      </c>
      <c r="D88" t="s">
        <v>647</v>
      </c>
      <c r="E88" t="s">
        <v>659</v>
      </c>
      <c r="F88" t="s">
        <v>685</v>
      </c>
      <c r="G88" t="s">
        <v>701</v>
      </c>
      <c r="H88" t="s">
        <v>707</v>
      </c>
      <c r="I88" t="s">
        <v>723</v>
      </c>
      <c r="J88" t="s">
        <v>727</v>
      </c>
      <c r="K88" t="s">
        <v>820</v>
      </c>
      <c r="L88">
        <v>1366.48</v>
      </c>
      <c r="M88">
        <v>1678.14</v>
      </c>
      <c r="N88">
        <v>0.154</v>
      </c>
      <c r="O88">
        <v>10</v>
      </c>
    </row>
    <row r="89" spans="1:15" x14ac:dyDescent="0.25">
      <c r="A89" t="s">
        <v>102</v>
      </c>
      <c r="B89" s="2">
        <v>45876</v>
      </c>
      <c r="C89" s="2">
        <v>45888</v>
      </c>
      <c r="D89" t="s">
        <v>646</v>
      </c>
      <c r="E89" t="s">
        <v>650</v>
      </c>
      <c r="F89" t="s">
        <v>678</v>
      </c>
      <c r="G89" t="s">
        <v>701</v>
      </c>
      <c r="I89" t="s">
        <v>724</v>
      </c>
      <c r="J89" t="s">
        <v>727</v>
      </c>
      <c r="K89" t="s">
        <v>821</v>
      </c>
      <c r="L89">
        <v>601.51</v>
      </c>
      <c r="M89">
        <v>679.35</v>
      </c>
      <c r="N89">
        <v>0.188</v>
      </c>
      <c r="O89">
        <v>3</v>
      </c>
    </row>
    <row r="90" spans="1:15" x14ac:dyDescent="0.25">
      <c r="A90" t="s">
        <v>103</v>
      </c>
      <c r="B90" s="2">
        <v>45312</v>
      </c>
      <c r="C90" s="2">
        <v>45316</v>
      </c>
      <c r="D90" t="s">
        <v>647</v>
      </c>
      <c r="E90" t="s">
        <v>654</v>
      </c>
      <c r="F90" t="s">
        <v>680</v>
      </c>
      <c r="G90" t="s">
        <v>704</v>
      </c>
      <c r="H90" t="s">
        <v>711</v>
      </c>
      <c r="I90" t="s">
        <v>712</v>
      </c>
      <c r="J90" t="s">
        <v>732</v>
      </c>
      <c r="K90" t="s">
        <v>822</v>
      </c>
      <c r="L90">
        <v>523.70000000000005</v>
      </c>
      <c r="M90">
        <v>1109.92</v>
      </c>
      <c r="N90">
        <v>0.03</v>
      </c>
      <c r="O90">
        <v>11</v>
      </c>
    </row>
    <row r="91" spans="1:15" x14ac:dyDescent="0.25">
      <c r="A91" t="s">
        <v>104</v>
      </c>
      <c r="B91" s="2">
        <v>45106</v>
      </c>
      <c r="C91" s="2">
        <v>45109</v>
      </c>
      <c r="D91" t="s">
        <v>647</v>
      </c>
      <c r="E91" t="s">
        <v>652</v>
      </c>
      <c r="F91" t="s">
        <v>694</v>
      </c>
      <c r="G91" t="s">
        <v>702</v>
      </c>
      <c r="H91" t="s">
        <v>709</v>
      </c>
      <c r="I91" t="s">
        <v>721</v>
      </c>
      <c r="J91" t="s">
        <v>732</v>
      </c>
      <c r="K91" t="s">
        <v>823</v>
      </c>
      <c r="L91">
        <v>55.65</v>
      </c>
      <c r="M91">
        <v>83.57</v>
      </c>
      <c r="N91">
        <v>6.6000000000000003E-2</v>
      </c>
      <c r="O91">
        <v>8</v>
      </c>
    </row>
    <row r="92" spans="1:15" x14ac:dyDescent="0.25">
      <c r="A92" t="s">
        <v>105</v>
      </c>
      <c r="B92" s="2">
        <v>45775</v>
      </c>
      <c r="C92" s="2">
        <v>45792</v>
      </c>
      <c r="D92" t="s">
        <v>647</v>
      </c>
      <c r="E92" t="s">
        <v>652</v>
      </c>
      <c r="F92" t="s">
        <v>694</v>
      </c>
      <c r="G92" t="s">
        <v>702</v>
      </c>
      <c r="H92" t="s">
        <v>711</v>
      </c>
      <c r="I92" t="s">
        <v>725</v>
      </c>
      <c r="J92" t="s">
        <v>729</v>
      </c>
      <c r="K92" t="s">
        <v>824</v>
      </c>
      <c r="L92">
        <v>691.19</v>
      </c>
      <c r="M92">
        <v>1284.3</v>
      </c>
      <c r="N92">
        <v>7.3999999999999996E-2</v>
      </c>
      <c r="O92">
        <v>7</v>
      </c>
    </row>
    <row r="93" spans="1:15" x14ac:dyDescent="0.25">
      <c r="A93" t="s">
        <v>106</v>
      </c>
      <c r="B93" s="2">
        <v>45817</v>
      </c>
      <c r="C93" s="2">
        <v>45833</v>
      </c>
      <c r="D93" t="s">
        <v>647</v>
      </c>
      <c r="E93" t="s">
        <v>654</v>
      </c>
      <c r="F93" t="s">
        <v>696</v>
      </c>
      <c r="G93" t="s">
        <v>706</v>
      </c>
      <c r="H93" t="s">
        <v>710</v>
      </c>
      <c r="I93" t="s">
        <v>724</v>
      </c>
      <c r="J93" t="s">
        <v>730</v>
      </c>
      <c r="K93" t="s">
        <v>825</v>
      </c>
      <c r="L93">
        <v>527.33000000000004</v>
      </c>
      <c r="M93">
        <v>911.72</v>
      </c>
      <c r="N93">
        <v>0.14399999999999999</v>
      </c>
      <c r="O93">
        <v>25</v>
      </c>
    </row>
    <row r="94" spans="1:15" x14ac:dyDescent="0.25">
      <c r="A94" t="s">
        <v>107</v>
      </c>
      <c r="B94" s="2">
        <v>45101</v>
      </c>
      <c r="C94" s="2">
        <v>45100</v>
      </c>
      <c r="D94" t="s">
        <v>648</v>
      </c>
      <c r="E94" t="s">
        <v>655</v>
      </c>
      <c r="F94" t="s">
        <v>692</v>
      </c>
      <c r="G94" t="s">
        <v>703</v>
      </c>
      <c r="H94" t="s">
        <v>707</v>
      </c>
      <c r="I94" t="s">
        <v>718</v>
      </c>
      <c r="J94" t="s">
        <v>728</v>
      </c>
      <c r="K94" t="s">
        <v>826</v>
      </c>
      <c r="L94">
        <v>804.01</v>
      </c>
      <c r="M94">
        <v>1405.07</v>
      </c>
      <c r="N94">
        <v>9.6000000000000002E-2</v>
      </c>
      <c r="O94">
        <v>8</v>
      </c>
    </row>
    <row r="95" spans="1:15" x14ac:dyDescent="0.25">
      <c r="A95" t="s">
        <v>108</v>
      </c>
      <c r="B95" s="2">
        <v>45569</v>
      </c>
      <c r="C95" s="2">
        <v>45598</v>
      </c>
      <c r="D95" t="s">
        <v>646</v>
      </c>
      <c r="E95" t="s">
        <v>651</v>
      </c>
      <c r="F95" t="s">
        <v>669</v>
      </c>
      <c r="G95" t="s">
        <v>701</v>
      </c>
      <c r="H95" t="s">
        <v>710</v>
      </c>
      <c r="I95" t="s">
        <v>721</v>
      </c>
      <c r="J95" t="s">
        <v>733</v>
      </c>
      <c r="K95" t="s">
        <v>827</v>
      </c>
      <c r="L95">
        <v>412.09</v>
      </c>
      <c r="M95">
        <v>968.94</v>
      </c>
      <c r="N95">
        <v>9.9000000000000005E-2</v>
      </c>
      <c r="O95">
        <v>23</v>
      </c>
    </row>
    <row r="96" spans="1:15" x14ac:dyDescent="0.25">
      <c r="A96" t="s">
        <v>109</v>
      </c>
      <c r="B96" s="2">
        <v>45910</v>
      </c>
      <c r="C96" s="2">
        <v>45930</v>
      </c>
      <c r="D96" t="s">
        <v>646</v>
      </c>
      <c r="E96" t="s">
        <v>650</v>
      </c>
      <c r="F96" t="s">
        <v>675</v>
      </c>
      <c r="G96" t="s">
        <v>701</v>
      </c>
      <c r="H96" t="s">
        <v>711</v>
      </c>
      <c r="I96" t="s">
        <v>716</v>
      </c>
      <c r="J96" t="s">
        <v>730</v>
      </c>
      <c r="K96" t="s">
        <v>828</v>
      </c>
      <c r="L96">
        <v>1009.48</v>
      </c>
      <c r="M96">
        <v>1088.81</v>
      </c>
      <c r="N96">
        <v>0.16</v>
      </c>
      <c r="O96">
        <v>6</v>
      </c>
    </row>
    <row r="97" spans="1:15" x14ac:dyDescent="0.25">
      <c r="A97" t="s">
        <v>110</v>
      </c>
      <c r="B97" s="2">
        <v>45022</v>
      </c>
      <c r="C97" s="2">
        <v>45043</v>
      </c>
      <c r="D97" t="s">
        <v>649</v>
      </c>
      <c r="E97" t="s">
        <v>658</v>
      </c>
      <c r="F97" t="s">
        <v>693</v>
      </c>
      <c r="G97" t="s">
        <v>706</v>
      </c>
      <c r="H97" t="s">
        <v>710</v>
      </c>
      <c r="I97" t="s">
        <v>714</v>
      </c>
      <c r="J97" t="s">
        <v>728</v>
      </c>
      <c r="K97" t="s">
        <v>829</v>
      </c>
      <c r="L97">
        <v>1084.79</v>
      </c>
      <c r="M97">
        <v>2484.9899999999998</v>
      </c>
      <c r="N97">
        <v>3.4000000000000002E-2</v>
      </c>
      <c r="O97">
        <v>18</v>
      </c>
    </row>
    <row r="98" spans="1:15" x14ac:dyDescent="0.25">
      <c r="A98" t="s">
        <v>111</v>
      </c>
      <c r="B98" s="2">
        <v>45870</v>
      </c>
      <c r="C98" s="2">
        <v>45885</v>
      </c>
      <c r="D98" t="s">
        <v>647</v>
      </c>
      <c r="E98" t="s">
        <v>654</v>
      </c>
      <c r="G98" t="s">
        <v>706</v>
      </c>
      <c r="H98" t="s">
        <v>711</v>
      </c>
      <c r="I98" t="s">
        <v>719</v>
      </c>
      <c r="J98" t="s">
        <v>732</v>
      </c>
      <c r="K98" t="s">
        <v>830</v>
      </c>
      <c r="L98">
        <v>24.44</v>
      </c>
      <c r="M98">
        <v>28.69</v>
      </c>
      <c r="N98">
        <v>0.14599999999999999</v>
      </c>
      <c r="O98">
        <v>6</v>
      </c>
    </row>
    <row r="99" spans="1:15" x14ac:dyDescent="0.25">
      <c r="A99" t="s">
        <v>112</v>
      </c>
      <c r="B99" s="2">
        <v>45440</v>
      </c>
      <c r="C99" s="2">
        <v>45438</v>
      </c>
      <c r="D99" t="s">
        <v>646</v>
      </c>
      <c r="E99" t="s">
        <v>651</v>
      </c>
      <c r="F99" t="s">
        <v>669</v>
      </c>
      <c r="G99" t="s">
        <v>706</v>
      </c>
      <c r="H99" t="s">
        <v>708</v>
      </c>
      <c r="I99" t="s">
        <v>721</v>
      </c>
      <c r="J99" t="s">
        <v>733</v>
      </c>
      <c r="K99" t="s">
        <v>831</v>
      </c>
      <c r="L99">
        <v>1227.08</v>
      </c>
      <c r="M99">
        <v>1896.62</v>
      </c>
      <c r="N99">
        <v>0</v>
      </c>
      <c r="O99">
        <v>18</v>
      </c>
    </row>
    <row r="100" spans="1:15" x14ac:dyDescent="0.25">
      <c r="A100" t="s">
        <v>113</v>
      </c>
      <c r="B100" s="2">
        <v>45860</v>
      </c>
      <c r="C100" s="2">
        <v>45887</v>
      </c>
      <c r="D100" t="s">
        <v>647</v>
      </c>
      <c r="E100" t="s">
        <v>659</v>
      </c>
      <c r="F100" t="s">
        <v>676</v>
      </c>
      <c r="G100" t="s">
        <v>703</v>
      </c>
      <c r="H100" t="s">
        <v>709</v>
      </c>
      <c r="I100" t="s">
        <v>724</v>
      </c>
      <c r="J100" t="s">
        <v>729</v>
      </c>
      <c r="K100" t="s">
        <v>832</v>
      </c>
      <c r="L100">
        <v>547.32000000000005</v>
      </c>
      <c r="M100">
        <v>419.17</v>
      </c>
      <c r="N100">
        <v>9.1999999999999998E-2</v>
      </c>
      <c r="O100">
        <v>14</v>
      </c>
    </row>
    <row r="101" spans="1:15" x14ac:dyDescent="0.25">
      <c r="A101" t="s">
        <v>114</v>
      </c>
      <c r="B101" s="2">
        <v>44985</v>
      </c>
      <c r="C101" s="2">
        <v>45005</v>
      </c>
      <c r="D101" t="s">
        <v>649</v>
      </c>
      <c r="E101" t="s">
        <v>656</v>
      </c>
      <c r="F101" t="s">
        <v>671</v>
      </c>
      <c r="G101" t="s">
        <v>705</v>
      </c>
      <c r="H101" t="s">
        <v>711</v>
      </c>
      <c r="I101" t="s">
        <v>722</v>
      </c>
      <c r="J101" t="s">
        <v>731</v>
      </c>
      <c r="K101" t="s">
        <v>833</v>
      </c>
      <c r="L101">
        <v>1200.78</v>
      </c>
      <c r="M101">
        <v>2001.17</v>
      </c>
      <c r="N101">
        <v>0.29199999999999998</v>
      </c>
      <c r="O101">
        <v>18</v>
      </c>
    </row>
    <row r="102" spans="1:15" x14ac:dyDescent="0.25">
      <c r="A102" t="s">
        <v>115</v>
      </c>
      <c r="B102" s="2">
        <v>45684</v>
      </c>
      <c r="C102" s="2">
        <v>45703</v>
      </c>
      <c r="D102" t="s">
        <v>647</v>
      </c>
      <c r="E102" t="s">
        <v>659</v>
      </c>
      <c r="F102" t="s">
        <v>676</v>
      </c>
      <c r="G102" t="s">
        <v>703</v>
      </c>
      <c r="H102" t="s">
        <v>711</v>
      </c>
      <c r="I102" t="s">
        <v>716</v>
      </c>
      <c r="J102" t="s">
        <v>730</v>
      </c>
      <c r="K102" t="s">
        <v>834</v>
      </c>
      <c r="L102">
        <v>1253.22</v>
      </c>
      <c r="M102">
        <v>3104.71</v>
      </c>
      <c r="N102">
        <v>0</v>
      </c>
      <c r="O102">
        <v>17</v>
      </c>
    </row>
    <row r="103" spans="1:15" x14ac:dyDescent="0.25">
      <c r="A103" t="s">
        <v>116</v>
      </c>
      <c r="B103" s="2">
        <v>45304</v>
      </c>
      <c r="C103" s="2">
        <v>45313</v>
      </c>
      <c r="D103" t="s">
        <v>647</v>
      </c>
      <c r="E103" t="s">
        <v>654</v>
      </c>
      <c r="F103" t="s">
        <v>691</v>
      </c>
      <c r="G103" t="s">
        <v>706</v>
      </c>
      <c r="H103" t="s">
        <v>709</v>
      </c>
      <c r="I103" t="s">
        <v>713</v>
      </c>
      <c r="J103" t="s">
        <v>727</v>
      </c>
      <c r="K103" t="s">
        <v>835</v>
      </c>
      <c r="L103">
        <v>313.60000000000002</v>
      </c>
      <c r="M103">
        <v>334.28</v>
      </c>
      <c r="N103">
        <v>0.14000000000000001</v>
      </c>
      <c r="O103">
        <v>22</v>
      </c>
    </row>
    <row r="104" spans="1:15" x14ac:dyDescent="0.25">
      <c r="A104" t="s">
        <v>117</v>
      </c>
      <c r="B104" s="2">
        <v>45747</v>
      </c>
      <c r="C104" s="2">
        <v>45751</v>
      </c>
      <c r="D104" t="s">
        <v>646</v>
      </c>
      <c r="E104" t="s">
        <v>650</v>
      </c>
      <c r="F104" t="s">
        <v>678</v>
      </c>
      <c r="G104" t="s">
        <v>701</v>
      </c>
      <c r="H104" t="s">
        <v>711</v>
      </c>
      <c r="I104" t="s">
        <v>712</v>
      </c>
      <c r="J104" t="s">
        <v>731</v>
      </c>
      <c r="K104" t="s">
        <v>836</v>
      </c>
      <c r="L104">
        <v>862.08</v>
      </c>
      <c r="M104">
        <v>1952.83</v>
      </c>
      <c r="N104">
        <v>0</v>
      </c>
      <c r="O104">
        <v>7</v>
      </c>
    </row>
    <row r="105" spans="1:15" x14ac:dyDescent="0.25">
      <c r="A105" t="s">
        <v>118</v>
      </c>
      <c r="B105" s="2">
        <v>45631</v>
      </c>
      <c r="C105" s="2">
        <v>45654</v>
      </c>
      <c r="D105" t="s">
        <v>648</v>
      </c>
      <c r="E105" t="s">
        <v>653</v>
      </c>
      <c r="F105" t="s">
        <v>688</v>
      </c>
      <c r="G105" t="s">
        <v>701</v>
      </c>
      <c r="H105" t="s">
        <v>711</v>
      </c>
      <c r="I105" t="s">
        <v>721</v>
      </c>
      <c r="J105" t="s">
        <v>733</v>
      </c>
      <c r="K105" t="s">
        <v>837</v>
      </c>
      <c r="L105">
        <v>107.03</v>
      </c>
      <c r="M105">
        <v>242.29</v>
      </c>
      <c r="N105">
        <v>0.18</v>
      </c>
      <c r="O105">
        <v>30</v>
      </c>
    </row>
    <row r="106" spans="1:15" x14ac:dyDescent="0.25">
      <c r="A106" t="s">
        <v>119</v>
      </c>
      <c r="B106" s="2">
        <v>45549</v>
      </c>
      <c r="C106" s="2">
        <v>45570</v>
      </c>
      <c r="D106" t="s">
        <v>647</v>
      </c>
      <c r="E106" t="s">
        <v>659</v>
      </c>
      <c r="F106" t="s">
        <v>685</v>
      </c>
      <c r="G106" t="s">
        <v>705</v>
      </c>
      <c r="H106" t="s">
        <v>708</v>
      </c>
      <c r="I106" t="s">
        <v>722</v>
      </c>
      <c r="J106" t="s">
        <v>731</v>
      </c>
      <c r="K106" t="s">
        <v>838</v>
      </c>
      <c r="L106">
        <v>1405.56</v>
      </c>
      <c r="M106">
        <v>2968.87</v>
      </c>
      <c r="N106">
        <v>0.16900000000000001</v>
      </c>
      <c r="O106">
        <v>5</v>
      </c>
    </row>
    <row r="107" spans="1:15" x14ac:dyDescent="0.25">
      <c r="A107" t="s">
        <v>120</v>
      </c>
      <c r="B107" s="2">
        <v>45433</v>
      </c>
      <c r="C107" s="2">
        <v>45439</v>
      </c>
      <c r="D107" t="s">
        <v>646</v>
      </c>
      <c r="E107" t="s">
        <v>661</v>
      </c>
      <c r="F107" t="s">
        <v>682</v>
      </c>
      <c r="G107" t="s">
        <v>703</v>
      </c>
      <c r="H107" t="s">
        <v>708</v>
      </c>
      <c r="I107" t="s">
        <v>724</v>
      </c>
      <c r="J107" t="s">
        <v>727</v>
      </c>
      <c r="K107" t="s">
        <v>839</v>
      </c>
      <c r="L107">
        <v>1157.51</v>
      </c>
      <c r="M107">
        <v>1394.3</v>
      </c>
      <c r="N107">
        <v>0.27800000000000002</v>
      </c>
      <c r="O107">
        <v>12</v>
      </c>
    </row>
    <row r="108" spans="1:15" x14ac:dyDescent="0.25">
      <c r="A108" t="s">
        <v>121</v>
      </c>
      <c r="B108" s="2">
        <v>45057</v>
      </c>
      <c r="C108" s="2">
        <v>45084</v>
      </c>
      <c r="D108" t="s">
        <v>646</v>
      </c>
      <c r="E108" t="s">
        <v>650</v>
      </c>
      <c r="F108" t="s">
        <v>675</v>
      </c>
      <c r="G108" t="s">
        <v>701</v>
      </c>
      <c r="H108" t="s">
        <v>708</v>
      </c>
      <c r="I108" t="s">
        <v>713</v>
      </c>
      <c r="J108" t="s">
        <v>730</v>
      </c>
      <c r="K108" t="s">
        <v>840</v>
      </c>
      <c r="L108">
        <v>12.85</v>
      </c>
      <c r="M108">
        <v>15.41</v>
      </c>
      <c r="N108">
        <v>0.13700000000000001</v>
      </c>
      <c r="O108">
        <v>39</v>
      </c>
    </row>
    <row r="109" spans="1:15" x14ac:dyDescent="0.25">
      <c r="A109" t="s">
        <v>122</v>
      </c>
      <c r="B109" s="2">
        <v>45518</v>
      </c>
      <c r="C109" s="2">
        <v>45539</v>
      </c>
      <c r="D109" t="s">
        <v>649</v>
      </c>
      <c r="E109" t="s">
        <v>658</v>
      </c>
      <c r="F109" t="s">
        <v>693</v>
      </c>
      <c r="G109" t="s">
        <v>703</v>
      </c>
      <c r="H109" t="s">
        <v>708</v>
      </c>
      <c r="I109" t="s">
        <v>713</v>
      </c>
      <c r="J109" t="s">
        <v>730</v>
      </c>
      <c r="K109" t="s">
        <v>841</v>
      </c>
      <c r="L109">
        <v>1138.8</v>
      </c>
      <c r="M109">
        <v>2250.81</v>
      </c>
      <c r="N109">
        <v>0.123</v>
      </c>
      <c r="O109">
        <v>12</v>
      </c>
    </row>
    <row r="110" spans="1:15" x14ac:dyDescent="0.25">
      <c r="A110" t="s">
        <v>123</v>
      </c>
      <c r="B110" s="2">
        <v>45581</v>
      </c>
      <c r="C110" s="2">
        <v>45604</v>
      </c>
      <c r="D110" t="s">
        <v>647</v>
      </c>
      <c r="E110" t="s">
        <v>652</v>
      </c>
      <c r="F110" t="s">
        <v>666</v>
      </c>
      <c r="G110" t="s">
        <v>705</v>
      </c>
      <c r="H110" t="s">
        <v>707</v>
      </c>
      <c r="I110" t="s">
        <v>713</v>
      </c>
      <c r="J110" t="s">
        <v>729</v>
      </c>
      <c r="K110" t="s">
        <v>842</v>
      </c>
      <c r="L110">
        <v>82.14</v>
      </c>
      <c r="M110">
        <v>166.04</v>
      </c>
      <c r="N110">
        <v>0</v>
      </c>
      <c r="O110">
        <v>10</v>
      </c>
    </row>
    <row r="111" spans="1:15" x14ac:dyDescent="0.25">
      <c r="A111" t="s">
        <v>124</v>
      </c>
      <c r="B111" s="2">
        <v>45445</v>
      </c>
      <c r="C111" s="2">
        <v>45451</v>
      </c>
      <c r="D111" t="s">
        <v>646</v>
      </c>
      <c r="E111" t="s">
        <v>650</v>
      </c>
      <c r="F111" t="s">
        <v>662</v>
      </c>
      <c r="G111" t="s">
        <v>704</v>
      </c>
      <c r="H111" t="s">
        <v>709</v>
      </c>
      <c r="I111" t="s">
        <v>720</v>
      </c>
      <c r="J111" t="s">
        <v>733</v>
      </c>
      <c r="K111" t="s">
        <v>843</v>
      </c>
      <c r="L111">
        <v>292.94</v>
      </c>
      <c r="M111">
        <v>356.55</v>
      </c>
      <c r="N111">
        <v>0.22900000000000001</v>
      </c>
      <c r="O111">
        <v>2</v>
      </c>
    </row>
    <row r="112" spans="1:15" x14ac:dyDescent="0.25">
      <c r="A112" t="s">
        <v>125</v>
      </c>
      <c r="B112" s="2">
        <v>45452</v>
      </c>
      <c r="C112" s="2">
        <v>45480</v>
      </c>
      <c r="D112" t="s">
        <v>647</v>
      </c>
      <c r="E112" t="s">
        <v>659</v>
      </c>
      <c r="F112" t="s">
        <v>676</v>
      </c>
      <c r="G112" t="s">
        <v>701</v>
      </c>
      <c r="H112" t="s">
        <v>708</v>
      </c>
      <c r="I112" t="s">
        <v>713</v>
      </c>
      <c r="J112" t="s">
        <v>727</v>
      </c>
      <c r="K112" t="s">
        <v>844</v>
      </c>
      <c r="L112">
        <v>550.22</v>
      </c>
      <c r="M112">
        <v>1025.05</v>
      </c>
      <c r="N112">
        <v>0</v>
      </c>
      <c r="O112">
        <v>27</v>
      </c>
    </row>
    <row r="113" spans="1:15" x14ac:dyDescent="0.25">
      <c r="A113" t="s">
        <v>126</v>
      </c>
      <c r="B113" s="2">
        <v>45453</v>
      </c>
      <c r="C113" s="2">
        <v>45454</v>
      </c>
      <c r="D113" t="s">
        <v>649</v>
      </c>
      <c r="E113" t="s">
        <v>658</v>
      </c>
      <c r="F113" t="s">
        <v>674</v>
      </c>
      <c r="G113" t="s">
        <v>705</v>
      </c>
      <c r="H113" t="s">
        <v>709</v>
      </c>
      <c r="I113" t="s">
        <v>724</v>
      </c>
      <c r="J113" t="s">
        <v>731</v>
      </c>
      <c r="K113" t="s">
        <v>845</v>
      </c>
      <c r="L113">
        <v>1187.1300000000001</v>
      </c>
      <c r="M113">
        <v>1795.17</v>
      </c>
      <c r="N113">
        <v>1.2E-2</v>
      </c>
      <c r="O113">
        <v>17</v>
      </c>
    </row>
    <row r="114" spans="1:15" x14ac:dyDescent="0.25">
      <c r="A114" t="s">
        <v>127</v>
      </c>
      <c r="B114" s="2">
        <v>45472</v>
      </c>
      <c r="C114" s="2">
        <v>45499</v>
      </c>
      <c r="D114" t="s">
        <v>646</v>
      </c>
      <c r="E114" t="s">
        <v>661</v>
      </c>
      <c r="F114" t="s">
        <v>687</v>
      </c>
      <c r="G114" t="s">
        <v>706</v>
      </c>
      <c r="H114" t="s">
        <v>710</v>
      </c>
      <c r="I114" t="s">
        <v>717</v>
      </c>
      <c r="J114" t="s">
        <v>729</v>
      </c>
      <c r="K114" t="s">
        <v>846</v>
      </c>
      <c r="L114">
        <v>5.36</v>
      </c>
      <c r="M114">
        <v>4.37</v>
      </c>
      <c r="N114">
        <v>0.11799999999999999</v>
      </c>
      <c r="O114">
        <v>9</v>
      </c>
    </row>
    <row r="115" spans="1:15" x14ac:dyDescent="0.25">
      <c r="A115" t="s">
        <v>128</v>
      </c>
      <c r="B115" s="2">
        <v>45674</v>
      </c>
      <c r="C115" s="2">
        <v>45681</v>
      </c>
      <c r="D115" t="s">
        <v>648</v>
      </c>
      <c r="E115" t="s">
        <v>660</v>
      </c>
      <c r="F115" t="s">
        <v>697</v>
      </c>
      <c r="G115" t="s">
        <v>706</v>
      </c>
      <c r="H115" t="s">
        <v>708</v>
      </c>
      <c r="I115" t="s">
        <v>715</v>
      </c>
      <c r="J115" t="s">
        <v>733</v>
      </c>
      <c r="K115" t="s">
        <v>847</v>
      </c>
      <c r="L115">
        <v>142.09</v>
      </c>
      <c r="M115">
        <v>218.5</v>
      </c>
      <c r="N115">
        <v>0.11899999999999999</v>
      </c>
      <c r="O115">
        <v>11</v>
      </c>
    </row>
    <row r="116" spans="1:15" x14ac:dyDescent="0.25">
      <c r="A116" t="s">
        <v>129</v>
      </c>
      <c r="B116" s="2">
        <v>45250</v>
      </c>
      <c r="C116" s="2">
        <v>45265</v>
      </c>
      <c r="D116" t="s">
        <v>647</v>
      </c>
      <c r="E116" t="s">
        <v>652</v>
      </c>
      <c r="F116" t="s">
        <v>689</v>
      </c>
      <c r="G116" t="s">
        <v>706</v>
      </c>
      <c r="H116" t="s">
        <v>707</v>
      </c>
      <c r="I116" t="s">
        <v>716</v>
      </c>
      <c r="J116" t="s">
        <v>729</v>
      </c>
      <c r="K116" t="s">
        <v>848</v>
      </c>
      <c r="L116">
        <v>354.24</v>
      </c>
      <c r="M116">
        <v>249.87</v>
      </c>
      <c r="N116">
        <v>0</v>
      </c>
      <c r="O116">
        <v>6</v>
      </c>
    </row>
    <row r="117" spans="1:15" x14ac:dyDescent="0.25">
      <c r="A117" t="s">
        <v>130</v>
      </c>
      <c r="B117" s="2">
        <v>44987</v>
      </c>
      <c r="C117" s="2">
        <v>44990</v>
      </c>
      <c r="D117" t="s">
        <v>648</v>
      </c>
      <c r="E117" t="s">
        <v>655</v>
      </c>
      <c r="F117" t="s">
        <v>672</v>
      </c>
      <c r="G117" t="s">
        <v>706</v>
      </c>
      <c r="H117" t="s">
        <v>711</v>
      </c>
      <c r="I117" t="s">
        <v>715</v>
      </c>
      <c r="J117" t="s">
        <v>732</v>
      </c>
      <c r="K117" t="s">
        <v>849</v>
      </c>
      <c r="L117">
        <v>1473.58</v>
      </c>
      <c r="M117">
        <v>3436.52</v>
      </c>
      <c r="N117">
        <v>0.108</v>
      </c>
      <c r="O117">
        <v>8</v>
      </c>
    </row>
    <row r="118" spans="1:15" x14ac:dyDescent="0.25">
      <c r="A118" t="s">
        <v>131</v>
      </c>
      <c r="B118" s="2">
        <v>45811</v>
      </c>
      <c r="C118" s="2">
        <v>45818</v>
      </c>
      <c r="D118" t="s">
        <v>648</v>
      </c>
      <c r="E118" t="s">
        <v>653</v>
      </c>
      <c r="F118" t="s">
        <v>667</v>
      </c>
      <c r="G118" t="s">
        <v>704</v>
      </c>
      <c r="H118" t="s">
        <v>710</v>
      </c>
      <c r="I118" t="s">
        <v>719</v>
      </c>
      <c r="J118" t="s">
        <v>728</v>
      </c>
      <c r="K118" t="s">
        <v>850</v>
      </c>
      <c r="L118">
        <v>75.180000000000007</v>
      </c>
      <c r="M118">
        <v>53.45</v>
      </c>
      <c r="N118">
        <v>0.157</v>
      </c>
      <c r="O118">
        <v>17</v>
      </c>
    </row>
    <row r="119" spans="1:15" x14ac:dyDescent="0.25">
      <c r="A119" t="s">
        <v>132</v>
      </c>
      <c r="B119" s="2">
        <v>45653</v>
      </c>
      <c r="C119" s="2">
        <v>45659</v>
      </c>
      <c r="D119" t="s">
        <v>649</v>
      </c>
      <c r="E119" t="s">
        <v>656</v>
      </c>
      <c r="F119" t="s">
        <v>698</v>
      </c>
      <c r="G119" t="s">
        <v>702</v>
      </c>
      <c r="H119" t="s">
        <v>711</v>
      </c>
      <c r="I119" t="s">
        <v>721</v>
      </c>
      <c r="J119" t="s">
        <v>731</v>
      </c>
      <c r="K119" t="s">
        <v>851</v>
      </c>
      <c r="L119">
        <v>1391.99</v>
      </c>
      <c r="M119">
        <v>3469.7</v>
      </c>
      <c r="N119">
        <v>0.184</v>
      </c>
      <c r="O119">
        <v>23</v>
      </c>
    </row>
    <row r="120" spans="1:15" x14ac:dyDescent="0.25">
      <c r="A120" t="s">
        <v>133</v>
      </c>
      <c r="B120" s="2">
        <v>45086</v>
      </c>
      <c r="C120" s="2">
        <v>45096</v>
      </c>
      <c r="D120" t="s">
        <v>647</v>
      </c>
      <c r="E120" t="s">
        <v>659</v>
      </c>
      <c r="F120" t="s">
        <v>699</v>
      </c>
      <c r="G120" t="s">
        <v>706</v>
      </c>
      <c r="H120" t="s">
        <v>707</v>
      </c>
      <c r="I120" t="s">
        <v>721</v>
      </c>
      <c r="J120" t="s">
        <v>732</v>
      </c>
      <c r="K120" t="s">
        <v>852</v>
      </c>
      <c r="L120">
        <v>339.61</v>
      </c>
      <c r="M120">
        <v>621.02</v>
      </c>
      <c r="N120">
        <v>7.0999999999999994E-2</v>
      </c>
      <c r="O120">
        <v>10</v>
      </c>
    </row>
    <row r="121" spans="1:15" x14ac:dyDescent="0.25">
      <c r="A121" t="s">
        <v>134</v>
      </c>
      <c r="B121" s="2">
        <v>45847</v>
      </c>
      <c r="C121" s="2">
        <v>45856</v>
      </c>
      <c r="D121" t="s">
        <v>648</v>
      </c>
      <c r="E121" t="s">
        <v>653</v>
      </c>
      <c r="F121" t="s">
        <v>688</v>
      </c>
      <c r="G121" t="s">
        <v>702</v>
      </c>
      <c r="H121" t="s">
        <v>710</v>
      </c>
      <c r="I121" t="s">
        <v>714</v>
      </c>
      <c r="J121" t="s">
        <v>731</v>
      </c>
      <c r="K121" t="s">
        <v>853</v>
      </c>
      <c r="L121">
        <v>57.96</v>
      </c>
      <c r="M121">
        <v>88.51</v>
      </c>
      <c r="N121">
        <v>4.2999999999999997E-2</v>
      </c>
      <c r="O121">
        <v>7</v>
      </c>
    </row>
    <row r="122" spans="1:15" x14ac:dyDescent="0.25">
      <c r="A122" t="s">
        <v>135</v>
      </c>
      <c r="B122" s="2">
        <v>45827</v>
      </c>
      <c r="C122" s="2">
        <v>45850</v>
      </c>
      <c r="D122" t="s">
        <v>649</v>
      </c>
      <c r="E122" t="s">
        <v>658</v>
      </c>
      <c r="G122" t="s">
        <v>703</v>
      </c>
      <c r="H122" t="s">
        <v>711</v>
      </c>
      <c r="J122" t="s">
        <v>729</v>
      </c>
      <c r="K122" t="s">
        <v>854</v>
      </c>
      <c r="L122">
        <v>801.24</v>
      </c>
      <c r="M122">
        <v>1959.09</v>
      </c>
      <c r="N122">
        <v>0.123</v>
      </c>
      <c r="O122">
        <v>23</v>
      </c>
    </row>
    <row r="123" spans="1:15" x14ac:dyDescent="0.25">
      <c r="A123" t="s">
        <v>136</v>
      </c>
      <c r="B123" s="2">
        <v>45249</v>
      </c>
      <c r="C123" s="2">
        <v>45273</v>
      </c>
      <c r="D123" t="s">
        <v>649</v>
      </c>
      <c r="E123" t="s">
        <v>657</v>
      </c>
      <c r="F123" t="s">
        <v>679</v>
      </c>
      <c r="G123" t="s">
        <v>703</v>
      </c>
      <c r="H123" t="s">
        <v>711</v>
      </c>
      <c r="I123" t="s">
        <v>722</v>
      </c>
      <c r="J123" t="s">
        <v>732</v>
      </c>
      <c r="K123" t="s">
        <v>855</v>
      </c>
      <c r="L123">
        <v>1297.42</v>
      </c>
      <c r="M123">
        <v>2742.97</v>
      </c>
      <c r="N123">
        <v>6.9000000000000006E-2</v>
      </c>
      <c r="O123">
        <v>9</v>
      </c>
    </row>
    <row r="124" spans="1:15" x14ac:dyDescent="0.25">
      <c r="A124" t="s">
        <v>137</v>
      </c>
      <c r="B124" s="2">
        <v>45289</v>
      </c>
      <c r="C124" s="2">
        <v>45311</v>
      </c>
      <c r="D124" t="s">
        <v>646</v>
      </c>
      <c r="E124" t="s">
        <v>650</v>
      </c>
      <c r="F124" t="s">
        <v>662</v>
      </c>
      <c r="G124" t="s">
        <v>701</v>
      </c>
      <c r="H124" t="s">
        <v>711</v>
      </c>
      <c r="I124" t="s">
        <v>716</v>
      </c>
      <c r="J124" t="s">
        <v>730</v>
      </c>
      <c r="K124" t="s">
        <v>856</v>
      </c>
      <c r="L124">
        <v>1395.49</v>
      </c>
      <c r="M124">
        <v>1679.42</v>
      </c>
      <c r="N124">
        <v>0.20300000000000001</v>
      </c>
      <c r="O124">
        <v>12</v>
      </c>
    </row>
    <row r="125" spans="1:15" x14ac:dyDescent="0.25">
      <c r="A125" t="s">
        <v>138</v>
      </c>
      <c r="B125" s="2">
        <v>45598</v>
      </c>
      <c r="C125" s="2">
        <v>45625</v>
      </c>
      <c r="D125" t="s">
        <v>648</v>
      </c>
      <c r="E125" t="s">
        <v>655</v>
      </c>
      <c r="F125" t="s">
        <v>672</v>
      </c>
      <c r="G125" t="s">
        <v>705</v>
      </c>
      <c r="H125" t="s">
        <v>711</v>
      </c>
      <c r="I125" t="s">
        <v>714</v>
      </c>
      <c r="J125" t="s">
        <v>729</v>
      </c>
      <c r="K125" t="s">
        <v>857</v>
      </c>
      <c r="L125">
        <v>1363.51</v>
      </c>
      <c r="M125">
        <v>1433.9</v>
      </c>
      <c r="N125">
        <v>5.7000000000000002E-2</v>
      </c>
      <c r="O125">
        <v>8</v>
      </c>
    </row>
    <row r="126" spans="1:15" x14ac:dyDescent="0.25">
      <c r="A126" t="s">
        <v>139</v>
      </c>
      <c r="B126" s="2">
        <v>45159</v>
      </c>
      <c r="C126" s="2">
        <v>45173</v>
      </c>
      <c r="D126" t="s">
        <v>648</v>
      </c>
      <c r="E126" t="s">
        <v>653</v>
      </c>
      <c r="F126" t="s">
        <v>681</v>
      </c>
      <c r="G126" t="s">
        <v>702</v>
      </c>
      <c r="H126" t="s">
        <v>710</v>
      </c>
      <c r="I126" t="s">
        <v>721</v>
      </c>
      <c r="J126" t="s">
        <v>727</v>
      </c>
      <c r="K126" t="s">
        <v>858</v>
      </c>
      <c r="L126">
        <v>178.19</v>
      </c>
      <c r="M126">
        <v>284.43</v>
      </c>
      <c r="N126">
        <v>8.8999999999999996E-2</v>
      </c>
      <c r="O126">
        <v>8</v>
      </c>
    </row>
    <row r="127" spans="1:15" x14ac:dyDescent="0.25">
      <c r="A127" t="s">
        <v>140</v>
      </c>
      <c r="B127" s="2">
        <v>45150</v>
      </c>
      <c r="C127" s="2">
        <v>45175</v>
      </c>
      <c r="D127" t="s">
        <v>647</v>
      </c>
      <c r="E127" t="s">
        <v>659</v>
      </c>
      <c r="F127" t="s">
        <v>685</v>
      </c>
      <c r="G127" t="s">
        <v>705</v>
      </c>
      <c r="H127" t="s">
        <v>707</v>
      </c>
      <c r="I127" t="s">
        <v>717</v>
      </c>
      <c r="J127" t="s">
        <v>727</v>
      </c>
      <c r="K127" t="s">
        <v>859</v>
      </c>
      <c r="L127">
        <v>950.77</v>
      </c>
      <c r="M127">
        <v>694.78</v>
      </c>
      <c r="N127">
        <v>8.4000000000000005E-2</v>
      </c>
      <c r="O127">
        <v>14</v>
      </c>
    </row>
    <row r="128" spans="1:15" x14ac:dyDescent="0.25">
      <c r="A128" t="s">
        <v>141</v>
      </c>
      <c r="B128" s="2">
        <v>45450</v>
      </c>
      <c r="C128" s="2">
        <v>45469</v>
      </c>
      <c r="D128" t="s">
        <v>649</v>
      </c>
      <c r="E128" t="s">
        <v>656</v>
      </c>
      <c r="F128" t="s">
        <v>671</v>
      </c>
      <c r="G128" t="s">
        <v>703</v>
      </c>
      <c r="H128" t="s">
        <v>709</v>
      </c>
      <c r="I128" t="s">
        <v>724</v>
      </c>
      <c r="J128" t="s">
        <v>727</v>
      </c>
      <c r="K128" t="s">
        <v>860</v>
      </c>
      <c r="L128">
        <v>1064.32</v>
      </c>
      <c r="M128">
        <v>1848.39</v>
      </c>
      <c r="N128">
        <v>7.2999999999999995E-2</v>
      </c>
      <c r="O128">
        <v>38</v>
      </c>
    </row>
    <row r="129" spans="1:15" x14ac:dyDescent="0.25">
      <c r="A129" t="s">
        <v>142</v>
      </c>
      <c r="B129" s="2">
        <v>45874</v>
      </c>
      <c r="C129" s="2">
        <v>45883</v>
      </c>
      <c r="D129" t="s">
        <v>649</v>
      </c>
      <c r="E129" t="s">
        <v>658</v>
      </c>
      <c r="F129" t="s">
        <v>683</v>
      </c>
      <c r="G129" t="s">
        <v>703</v>
      </c>
      <c r="H129" t="s">
        <v>711</v>
      </c>
      <c r="I129" t="s">
        <v>718</v>
      </c>
      <c r="J129" t="s">
        <v>727</v>
      </c>
      <c r="K129" t="s">
        <v>861</v>
      </c>
      <c r="L129">
        <v>41.76</v>
      </c>
      <c r="M129">
        <v>45.19</v>
      </c>
      <c r="N129">
        <v>0.17899999999999999</v>
      </c>
      <c r="O129">
        <v>23</v>
      </c>
    </row>
    <row r="130" spans="1:15" x14ac:dyDescent="0.25">
      <c r="A130" t="s">
        <v>143</v>
      </c>
      <c r="B130" s="2">
        <v>45442</v>
      </c>
      <c r="C130" s="2">
        <v>45456</v>
      </c>
      <c r="D130" t="s">
        <v>648</v>
      </c>
      <c r="E130" t="s">
        <v>660</v>
      </c>
      <c r="F130" t="s">
        <v>686</v>
      </c>
      <c r="G130" t="s">
        <v>705</v>
      </c>
      <c r="H130" t="s">
        <v>707</v>
      </c>
      <c r="I130" t="s">
        <v>721</v>
      </c>
      <c r="J130" t="s">
        <v>730</v>
      </c>
      <c r="K130" t="s">
        <v>862</v>
      </c>
      <c r="L130">
        <v>157.78</v>
      </c>
      <c r="M130">
        <v>361.1</v>
      </c>
      <c r="N130">
        <v>0.187</v>
      </c>
      <c r="O130">
        <v>9</v>
      </c>
    </row>
    <row r="131" spans="1:15" x14ac:dyDescent="0.25">
      <c r="A131" t="s">
        <v>144</v>
      </c>
      <c r="B131" s="2">
        <v>44948</v>
      </c>
      <c r="C131" s="2">
        <v>44956</v>
      </c>
      <c r="D131" t="s">
        <v>648</v>
      </c>
      <c r="E131" t="s">
        <v>660</v>
      </c>
      <c r="F131" t="s">
        <v>686</v>
      </c>
      <c r="G131" t="s">
        <v>705</v>
      </c>
      <c r="H131" t="s">
        <v>708</v>
      </c>
      <c r="I131" t="s">
        <v>720</v>
      </c>
      <c r="J131" t="s">
        <v>729</v>
      </c>
      <c r="K131" t="s">
        <v>863</v>
      </c>
      <c r="L131">
        <v>413.52</v>
      </c>
      <c r="M131">
        <v>1004.34</v>
      </c>
      <c r="N131">
        <v>0.111</v>
      </c>
      <c r="O131">
        <v>18</v>
      </c>
    </row>
    <row r="132" spans="1:15" x14ac:dyDescent="0.25">
      <c r="A132" t="s">
        <v>145</v>
      </c>
      <c r="B132" s="2">
        <v>45700</v>
      </c>
      <c r="C132" s="2">
        <v>45716</v>
      </c>
      <c r="D132" t="s">
        <v>648</v>
      </c>
      <c r="E132" t="s">
        <v>655</v>
      </c>
      <c r="F132" t="s">
        <v>670</v>
      </c>
      <c r="G132" t="s">
        <v>703</v>
      </c>
      <c r="H132" t="s">
        <v>711</v>
      </c>
      <c r="I132" t="s">
        <v>717</v>
      </c>
      <c r="J132" t="s">
        <v>732</v>
      </c>
      <c r="K132" t="s">
        <v>864</v>
      </c>
      <c r="L132">
        <v>414.95</v>
      </c>
      <c r="M132">
        <v>1027.73</v>
      </c>
      <c r="N132">
        <v>6.3E-2</v>
      </c>
      <c r="O132">
        <v>8</v>
      </c>
    </row>
    <row r="133" spans="1:15" x14ac:dyDescent="0.25">
      <c r="A133" t="s">
        <v>146</v>
      </c>
      <c r="B133" s="2">
        <v>45719</v>
      </c>
      <c r="C133" s="2">
        <v>45740</v>
      </c>
      <c r="D133" t="s">
        <v>646</v>
      </c>
      <c r="E133" t="s">
        <v>651</v>
      </c>
      <c r="F133" t="s">
        <v>669</v>
      </c>
      <c r="G133" t="s">
        <v>706</v>
      </c>
      <c r="H133" t="s">
        <v>711</v>
      </c>
      <c r="I133" t="s">
        <v>722</v>
      </c>
      <c r="J133" t="s">
        <v>733</v>
      </c>
      <c r="K133" t="s">
        <v>865</v>
      </c>
      <c r="L133">
        <v>555.95000000000005</v>
      </c>
      <c r="M133">
        <v>468.09</v>
      </c>
      <c r="N133">
        <v>0.14199999999999999</v>
      </c>
      <c r="O133">
        <v>11</v>
      </c>
    </row>
    <row r="134" spans="1:15" x14ac:dyDescent="0.25">
      <c r="A134" t="s">
        <v>147</v>
      </c>
      <c r="B134" s="2">
        <v>44953</v>
      </c>
      <c r="C134" s="2">
        <v>44957</v>
      </c>
      <c r="D134" t="s">
        <v>649</v>
      </c>
      <c r="E134" t="s">
        <v>658</v>
      </c>
      <c r="F134" t="s">
        <v>693</v>
      </c>
      <c r="G134" t="s">
        <v>706</v>
      </c>
      <c r="H134" t="s">
        <v>708</v>
      </c>
      <c r="I134" t="s">
        <v>725</v>
      </c>
      <c r="J134" t="s">
        <v>731</v>
      </c>
      <c r="K134" t="s">
        <v>866</v>
      </c>
      <c r="L134">
        <v>941.2</v>
      </c>
      <c r="M134">
        <v>668.02</v>
      </c>
      <c r="N134">
        <v>0.22</v>
      </c>
      <c r="O134">
        <v>16</v>
      </c>
    </row>
    <row r="135" spans="1:15" x14ac:dyDescent="0.25">
      <c r="A135" t="s">
        <v>148</v>
      </c>
      <c r="B135" s="2">
        <v>45666</v>
      </c>
      <c r="C135" s="2">
        <v>45672</v>
      </c>
      <c r="D135" t="s">
        <v>647</v>
      </c>
      <c r="E135" t="s">
        <v>659</v>
      </c>
      <c r="F135" t="s">
        <v>699</v>
      </c>
      <c r="G135" t="s">
        <v>702</v>
      </c>
      <c r="H135" t="s">
        <v>708</v>
      </c>
      <c r="I135" t="s">
        <v>712</v>
      </c>
      <c r="J135" t="s">
        <v>730</v>
      </c>
      <c r="K135" t="s">
        <v>867</v>
      </c>
      <c r="L135">
        <v>304.77999999999997</v>
      </c>
      <c r="M135">
        <v>537.27</v>
      </c>
      <c r="N135">
        <v>0.187</v>
      </c>
      <c r="O135">
        <v>8</v>
      </c>
    </row>
    <row r="136" spans="1:15" x14ac:dyDescent="0.25">
      <c r="A136" t="s">
        <v>149</v>
      </c>
      <c r="B136" s="2">
        <v>45647</v>
      </c>
      <c r="C136" s="2">
        <v>45652</v>
      </c>
      <c r="D136" t="s">
        <v>648</v>
      </c>
      <c r="E136" t="s">
        <v>660</v>
      </c>
      <c r="F136" t="s">
        <v>686</v>
      </c>
      <c r="G136" t="s">
        <v>704</v>
      </c>
      <c r="H136" t="s">
        <v>709</v>
      </c>
      <c r="I136" t="s">
        <v>724</v>
      </c>
      <c r="J136" t="s">
        <v>728</v>
      </c>
      <c r="K136" t="s">
        <v>868</v>
      </c>
      <c r="L136">
        <v>699.57</v>
      </c>
      <c r="M136">
        <v>572.71</v>
      </c>
      <c r="N136">
        <v>0.192</v>
      </c>
      <c r="O136">
        <v>26</v>
      </c>
    </row>
    <row r="137" spans="1:15" x14ac:dyDescent="0.25">
      <c r="A137" t="s">
        <v>150</v>
      </c>
      <c r="B137" s="2">
        <v>45028</v>
      </c>
      <c r="C137" s="2">
        <v>45033</v>
      </c>
      <c r="D137" t="s">
        <v>649</v>
      </c>
      <c r="E137" t="s">
        <v>657</v>
      </c>
      <c r="F137" t="s">
        <v>679</v>
      </c>
      <c r="G137" t="s">
        <v>706</v>
      </c>
      <c r="H137" t="s">
        <v>711</v>
      </c>
      <c r="I137" t="s">
        <v>718</v>
      </c>
      <c r="J137" t="s">
        <v>732</v>
      </c>
      <c r="K137" t="s">
        <v>869</v>
      </c>
      <c r="L137">
        <v>1087.81</v>
      </c>
      <c r="M137">
        <v>2323.87</v>
      </c>
      <c r="N137">
        <v>9.4E-2</v>
      </c>
      <c r="O137">
        <v>13</v>
      </c>
    </row>
    <row r="138" spans="1:15" x14ac:dyDescent="0.25">
      <c r="A138" t="s">
        <v>151</v>
      </c>
      <c r="B138" s="2">
        <v>45640</v>
      </c>
      <c r="C138" s="2">
        <v>45669</v>
      </c>
      <c r="D138" t="s">
        <v>647</v>
      </c>
      <c r="E138" t="s">
        <v>659</v>
      </c>
      <c r="F138" t="s">
        <v>676</v>
      </c>
      <c r="G138" t="s">
        <v>702</v>
      </c>
      <c r="H138" t="s">
        <v>708</v>
      </c>
      <c r="I138" t="s">
        <v>713</v>
      </c>
      <c r="J138" t="s">
        <v>727</v>
      </c>
      <c r="K138" t="s">
        <v>870</v>
      </c>
      <c r="L138">
        <v>1412.15</v>
      </c>
      <c r="M138">
        <v>1631.04</v>
      </c>
      <c r="N138">
        <v>8.9999999999999993E-3</v>
      </c>
      <c r="O138">
        <v>6</v>
      </c>
    </row>
    <row r="139" spans="1:15" x14ac:dyDescent="0.25">
      <c r="A139" t="s">
        <v>152</v>
      </c>
      <c r="B139" s="2">
        <v>45016</v>
      </c>
      <c r="C139" s="2">
        <v>45028</v>
      </c>
      <c r="D139" t="s">
        <v>646</v>
      </c>
      <c r="E139" t="s">
        <v>650</v>
      </c>
      <c r="F139" t="s">
        <v>675</v>
      </c>
      <c r="G139" t="s">
        <v>705</v>
      </c>
      <c r="H139" t="s">
        <v>708</v>
      </c>
      <c r="I139" t="s">
        <v>712</v>
      </c>
      <c r="J139" t="s">
        <v>730</v>
      </c>
      <c r="K139" t="s">
        <v>871</v>
      </c>
      <c r="L139">
        <v>304.22000000000003</v>
      </c>
      <c r="M139">
        <v>393.31</v>
      </c>
      <c r="N139">
        <v>0.26500000000000001</v>
      </c>
      <c r="O139">
        <v>15</v>
      </c>
    </row>
    <row r="140" spans="1:15" x14ac:dyDescent="0.25">
      <c r="A140" t="s">
        <v>153</v>
      </c>
      <c r="B140" s="2">
        <v>45616</v>
      </c>
      <c r="C140" s="2">
        <v>45641</v>
      </c>
      <c r="D140" t="s">
        <v>649</v>
      </c>
      <c r="E140" t="s">
        <v>657</v>
      </c>
      <c r="F140" t="s">
        <v>690</v>
      </c>
      <c r="G140" t="s">
        <v>701</v>
      </c>
      <c r="H140" t="s">
        <v>708</v>
      </c>
      <c r="I140" t="s">
        <v>715</v>
      </c>
      <c r="J140" t="s">
        <v>728</v>
      </c>
      <c r="K140" t="s">
        <v>872</v>
      </c>
      <c r="L140">
        <v>1203.58</v>
      </c>
      <c r="M140">
        <v>1856.16</v>
      </c>
      <c r="N140">
        <v>0.129</v>
      </c>
      <c r="O140">
        <v>22</v>
      </c>
    </row>
    <row r="141" spans="1:15" x14ac:dyDescent="0.25">
      <c r="A141" t="s">
        <v>154</v>
      </c>
      <c r="B141" s="2">
        <v>45336</v>
      </c>
      <c r="C141" s="2">
        <v>45336</v>
      </c>
      <c r="D141" t="s">
        <v>647</v>
      </c>
      <c r="E141" t="s">
        <v>659</v>
      </c>
      <c r="F141" t="s">
        <v>699</v>
      </c>
      <c r="G141" t="s">
        <v>701</v>
      </c>
      <c r="H141" t="s">
        <v>710</v>
      </c>
      <c r="I141" t="s">
        <v>716</v>
      </c>
      <c r="J141" t="s">
        <v>733</v>
      </c>
      <c r="K141" t="s">
        <v>873</v>
      </c>
      <c r="L141">
        <v>65.930000000000007</v>
      </c>
      <c r="M141">
        <v>84.9</v>
      </c>
      <c r="N141">
        <v>0.25900000000000001</v>
      </c>
      <c r="O141">
        <v>23</v>
      </c>
    </row>
    <row r="142" spans="1:15" x14ac:dyDescent="0.25">
      <c r="A142" t="s">
        <v>155</v>
      </c>
      <c r="B142" s="2">
        <v>45048</v>
      </c>
      <c r="C142" s="2">
        <v>45064</v>
      </c>
      <c r="D142" t="s">
        <v>647</v>
      </c>
      <c r="E142" t="s">
        <v>654</v>
      </c>
      <c r="F142" t="s">
        <v>680</v>
      </c>
      <c r="G142" t="s">
        <v>705</v>
      </c>
      <c r="H142" t="s">
        <v>709</v>
      </c>
      <c r="I142" t="s">
        <v>723</v>
      </c>
      <c r="J142" t="s">
        <v>732</v>
      </c>
      <c r="K142" t="s">
        <v>874</v>
      </c>
      <c r="L142">
        <v>1463.92</v>
      </c>
      <c r="M142">
        <v>2252.2399999999998</v>
      </c>
      <c r="N142">
        <v>0.11799999999999999</v>
      </c>
      <c r="O142">
        <v>44</v>
      </c>
    </row>
    <row r="143" spans="1:15" x14ac:dyDescent="0.25">
      <c r="A143" t="s">
        <v>156</v>
      </c>
      <c r="B143" s="2">
        <v>45649</v>
      </c>
      <c r="C143" s="2">
        <v>45668</v>
      </c>
      <c r="D143" t="s">
        <v>649</v>
      </c>
      <c r="E143" t="s">
        <v>656</v>
      </c>
      <c r="F143" t="s">
        <v>671</v>
      </c>
      <c r="G143" t="s">
        <v>702</v>
      </c>
      <c r="H143" t="s">
        <v>707</v>
      </c>
      <c r="I143" t="s">
        <v>723</v>
      </c>
      <c r="J143" t="s">
        <v>730</v>
      </c>
      <c r="K143" t="s">
        <v>875</v>
      </c>
      <c r="L143">
        <v>501.81</v>
      </c>
      <c r="M143">
        <v>921.62</v>
      </c>
      <c r="N143">
        <v>0.01</v>
      </c>
      <c r="O143">
        <v>9</v>
      </c>
    </row>
    <row r="144" spans="1:15" x14ac:dyDescent="0.25">
      <c r="A144" t="s">
        <v>157</v>
      </c>
      <c r="B144" s="2">
        <v>45133</v>
      </c>
      <c r="C144" s="2">
        <v>45163</v>
      </c>
      <c r="D144" t="s">
        <v>648</v>
      </c>
      <c r="E144" t="s">
        <v>660</v>
      </c>
      <c r="F144" t="s">
        <v>700</v>
      </c>
      <c r="G144" t="s">
        <v>704</v>
      </c>
      <c r="H144" t="s">
        <v>707</v>
      </c>
      <c r="I144" t="s">
        <v>724</v>
      </c>
      <c r="J144" t="s">
        <v>733</v>
      </c>
      <c r="K144" t="s">
        <v>876</v>
      </c>
      <c r="L144">
        <v>1261.48</v>
      </c>
      <c r="M144">
        <v>1643.18</v>
      </c>
      <c r="N144">
        <v>0.151</v>
      </c>
      <c r="O144">
        <v>23</v>
      </c>
    </row>
    <row r="145" spans="1:15" x14ac:dyDescent="0.25">
      <c r="A145" t="s">
        <v>158</v>
      </c>
      <c r="B145" s="2">
        <v>45458</v>
      </c>
      <c r="C145" s="2">
        <v>45479</v>
      </c>
      <c r="D145" t="s">
        <v>648</v>
      </c>
      <c r="E145" t="s">
        <v>653</v>
      </c>
      <c r="F145" t="s">
        <v>667</v>
      </c>
      <c r="G145" t="s">
        <v>706</v>
      </c>
      <c r="H145" t="s">
        <v>710</v>
      </c>
      <c r="I145" t="s">
        <v>716</v>
      </c>
      <c r="J145" t="s">
        <v>728</v>
      </c>
      <c r="K145" t="s">
        <v>877</v>
      </c>
      <c r="L145">
        <v>817.23</v>
      </c>
      <c r="M145">
        <v>1467.17</v>
      </c>
      <c r="N145">
        <v>0.245</v>
      </c>
      <c r="O145">
        <v>9</v>
      </c>
    </row>
    <row r="146" spans="1:15" x14ac:dyDescent="0.25">
      <c r="A146" t="s">
        <v>159</v>
      </c>
      <c r="B146" s="2">
        <v>45112</v>
      </c>
      <c r="C146" s="2">
        <v>45121</v>
      </c>
      <c r="D146" t="s">
        <v>648</v>
      </c>
      <c r="E146" t="s">
        <v>655</v>
      </c>
      <c r="F146" t="s">
        <v>672</v>
      </c>
      <c r="G146" t="s">
        <v>706</v>
      </c>
      <c r="H146" t="s">
        <v>711</v>
      </c>
      <c r="I146" t="s">
        <v>717</v>
      </c>
      <c r="J146" t="s">
        <v>729</v>
      </c>
      <c r="K146" t="s">
        <v>878</v>
      </c>
      <c r="L146">
        <v>578.85</v>
      </c>
      <c r="M146">
        <v>998.76</v>
      </c>
      <c r="N146">
        <v>8.2000000000000003E-2</v>
      </c>
      <c r="O146">
        <v>28</v>
      </c>
    </row>
    <row r="147" spans="1:15" x14ac:dyDescent="0.25">
      <c r="A147" t="s">
        <v>160</v>
      </c>
      <c r="B147" s="2">
        <v>45260</v>
      </c>
      <c r="C147" s="2">
        <v>45259</v>
      </c>
      <c r="D147" t="s">
        <v>646</v>
      </c>
      <c r="E147" t="s">
        <v>661</v>
      </c>
      <c r="F147" t="s">
        <v>687</v>
      </c>
      <c r="G147" t="s">
        <v>705</v>
      </c>
      <c r="H147" t="s">
        <v>709</v>
      </c>
      <c r="I147" t="s">
        <v>718</v>
      </c>
      <c r="J147" t="s">
        <v>731</v>
      </c>
      <c r="K147" t="s">
        <v>879</v>
      </c>
      <c r="L147">
        <v>275.56</v>
      </c>
      <c r="M147">
        <v>630.72</v>
      </c>
      <c r="N147">
        <v>0.107</v>
      </c>
      <c r="O147">
        <v>23</v>
      </c>
    </row>
    <row r="148" spans="1:15" x14ac:dyDescent="0.25">
      <c r="A148" t="s">
        <v>161</v>
      </c>
      <c r="B148" s="2">
        <v>45911</v>
      </c>
      <c r="C148" s="2">
        <v>45928</v>
      </c>
      <c r="D148" t="s">
        <v>646</v>
      </c>
      <c r="E148" t="s">
        <v>650</v>
      </c>
      <c r="F148" t="s">
        <v>664</v>
      </c>
      <c r="G148" t="s">
        <v>703</v>
      </c>
      <c r="H148" t="s">
        <v>710</v>
      </c>
      <c r="I148" t="s">
        <v>713</v>
      </c>
      <c r="J148" t="s">
        <v>731</v>
      </c>
      <c r="K148" t="s">
        <v>880</v>
      </c>
      <c r="L148">
        <v>891.46</v>
      </c>
      <c r="M148">
        <v>728.61</v>
      </c>
      <c r="N148">
        <v>0.185</v>
      </c>
      <c r="O148">
        <v>6</v>
      </c>
    </row>
    <row r="149" spans="1:15" x14ac:dyDescent="0.25">
      <c r="A149" t="s">
        <v>162</v>
      </c>
      <c r="B149" s="2">
        <v>45386</v>
      </c>
      <c r="C149" s="2">
        <v>45406</v>
      </c>
      <c r="D149" t="s">
        <v>649</v>
      </c>
      <c r="E149" t="s">
        <v>656</v>
      </c>
      <c r="F149" t="s">
        <v>698</v>
      </c>
      <c r="G149" t="s">
        <v>703</v>
      </c>
      <c r="H149" t="s">
        <v>711</v>
      </c>
      <c r="I149" t="s">
        <v>719</v>
      </c>
      <c r="J149" t="s">
        <v>733</v>
      </c>
      <c r="K149" t="s">
        <v>881</v>
      </c>
      <c r="L149">
        <v>683.42</v>
      </c>
      <c r="M149">
        <v>951.51</v>
      </c>
      <c r="N149">
        <v>0</v>
      </c>
      <c r="O149">
        <v>14</v>
      </c>
    </row>
    <row r="150" spans="1:15" x14ac:dyDescent="0.25">
      <c r="A150" t="s">
        <v>163</v>
      </c>
      <c r="B150" s="2">
        <v>45183</v>
      </c>
      <c r="C150" s="2">
        <v>45185</v>
      </c>
      <c r="D150" t="s">
        <v>649</v>
      </c>
      <c r="E150" t="s">
        <v>657</v>
      </c>
      <c r="F150" t="s">
        <v>679</v>
      </c>
      <c r="G150" t="s">
        <v>703</v>
      </c>
      <c r="H150" t="s">
        <v>711</v>
      </c>
      <c r="I150" t="s">
        <v>717</v>
      </c>
      <c r="J150" t="s">
        <v>728</v>
      </c>
      <c r="K150" t="s">
        <v>882</v>
      </c>
      <c r="L150">
        <v>376.83</v>
      </c>
      <c r="M150">
        <v>732.88</v>
      </c>
      <c r="N150">
        <v>0.188</v>
      </c>
      <c r="O150">
        <v>25</v>
      </c>
    </row>
    <row r="151" spans="1:15" x14ac:dyDescent="0.25">
      <c r="A151" t="s">
        <v>164</v>
      </c>
      <c r="B151" s="2">
        <v>45558</v>
      </c>
      <c r="C151" s="2">
        <v>45583</v>
      </c>
      <c r="D151" t="s">
        <v>648</v>
      </c>
      <c r="E151" t="s">
        <v>653</v>
      </c>
      <c r="F151" t="s">
        <v>688</v>
      </c>
      <c r="G151" t="s">
        <v>705</v>
      </c>
      <c r="H151" t="s">
        <v>708</v>
      </c>
      <c r="I151" t="s">
        <v>725</v>
      </c>
      <c r="J151" t="s">
        <v>730</v>
      </c>
      <c r="K151" t="s">
        <v>883</v>
      </c>
      <c r="L151">
        <v>1297</v>
      </c>
      <c r="M151">
        <v>2411.52</v>
      </c>
      <c r="N151">
        <v>2.1000000000000001E-2</v>
      </c>
      <c r="O151">
        <v>18</v>
      </c>
    </row>
    <row r="152" spans="1:15" x14ac:dyDescent="0.25">
      <c r="A152" t="s">
        <v>165</v>
      </c>
      <c r="B152" s="2">
        <v>45763</v>
      </c>
      <c r="C152" s="2">
        <v>45793</v>
      </c>
      <c r="D152" t="s">
        <v>648</v>
      </c>
      <c r="E152" t="s">
        <v>653</v>
      </c>
      <c r="F152" t="s">
        <v>681</v>
      </c>
      <c r="G152" t="s">
        <v>706</v>
      </c>
      <c r="H152" t="s">
        <v>710</v>
      </c>
      <c r="I152" t="s">
        <v>723</v>
      </c>
      <c r="J152" t="s">
        <v>728</v>
      </c>
      <c r="K152" t="s">
        <v>884</v>
      </c>
      <c r="L152">
        <v>763.32</v>
      </c>
      <c r="M152">
        <v>568.29</v>
      </c>
      <c r="N152">
        <v>0.13100000000000001</v>
      </c>
      <c r="O152">
        <v>16</v>
      </c>
    </row>
    <row r="153" spans="1:15" x14ac:dyDescent="0.25">
      <c r="A153" t="s">
        <v>166</v>
      </c>
      <c r="B153" s="2">
        <v>45110</v>
      </c>
      <c r="C153" s="2">
        <v>45130</v>
      </c>
      <c r="D153" t="s">
        <v>646</v>
      </c>
      <c r="E153" t="s">
        <v>661</v>
      </c>
      <c r="F153" t="s">
        <v>682</v>
      </c>
      <c r="G153" t="s">
        <v>705</v>
      </c>
      <c r="H153" t="s">
        <v>710</v>
      </c>
      <c r="I153" t="s">
        <v>721</v>
      </c>
      <c r="J153" t="s">
        <v>731</v>
      </c>
      <c r="K153" t="s">
        <v>885</v>
      </c>
      <c r="L153">
        <v>1001.96</v>
      </c>
      <c r="M153">
        <v>1254.95</v>
      </c>
      <c r="N153">
        <v>4.4999999999999998E-2</v>
      </c>
      <c r="O153">
        <v>18</v>
      </c>
    </row>
    <row r="154" spans="1:15" x14ac:dyDescent="0.25">
      <c r="A154" t="s">
        <v>167</v>
      </c>
      <c r="B154" s="2">
        <v>45267</v>
      </c>
      <c r="C154" s="2">
        <v>45265</v>
      </c>
      <c r="D154" t="s">
        <v>647</v>
      </c>
      <c r="E154" t="s">
        <v>652</v>
      </c>
      <c r="F154" t="s">
        <v>689</v>
      </c>
      <c r="G154" t="s">
        <v>703</v>
      </c>
      <c r="H154" t="s">
        <v>709</v>
      </c>
      <c r="I154" t="s">
        <v>722</v>
      </c>
      <c r="J154" t="s">
        <v>728</v>
      </c>
      <c r="K154" t="s">
        <v>886</v>
      </c>
      <c r="L154">
        <v>1097.5899999999999</v>
      </c>
      <c r="M154">
        <v>845.55</v>
      </c>
      <c r="N154">
        <v>0.184</v>
      </c>
      <c r="O154">
        <v>6</v>
      </c>
    </row>
    <row r="155" spans="1:15" x14ac:dyDescent="0.25">
      <c r="A155" t="s">
        <v>168</v>
      </c>
      <c r="B155" s="2">
        <v>45340</v>
      </c>
      <c r="C155" s="2">
        <v>45355</v>
      </c>
      <c r="D155" t="s">
        <v>646</v>
      </c>
      <c r="E155" t="s">
        <v>650</v>
      </c>
      <c r="F155" t="s">
        <v>662</v>
      </c>
      <c r="G155" t="s">
        <v>702</v>
      </c>
      <c r="H155" t="s">
        <v>711</v>
      </c>
      <c r="I155" t="s">
        <v>723</v>
      </c>
      <c r="J155" t="s">
        <v>728</v>
      </c>
      <c r="K155" t="s">
        <v>887</v>
      </c>
      <c r="L155">
        <v>928.68</v>
      </c>
      <c r="M155">
        <v>2145.17</v>
      </c>
      <c r="N155">
        <v>0.13600000000000001</v>
      </c>
      <c r="O155">
        <v>16</v>
      </c>
    </row>
    <row r="156" spans="1:15" x14ac:dyDescent="0.25">
      <c r="A156" t="s">
        <v>169</v>
      </c>
      <c r="B156" s="2">
        <v>45230</v>
      </c>
      <c r="C156" s="2">
        <v>45232</v>
      </c>
      <c r="D156" t="s">
        <v>646</v>
      </c>
      <c r="E156" t="s">
        <v>650</v>
      </c>
      <c r="F156" t="s">
        <v>662</v>
      </c>
      <c r="G156" t="s">
        <v>702</v>
      </c>
      <c r="H156" t="s">
        <v>707</v>
      </c>
      <c r="I156" t="s">
        <v>719</v>
      </c>
      <c r="J156" t="s">
        <v>733</v>
      </c>
      <c r="K156" t="s">
        <v>888</v>
      </c>
      <c r="L156">
        <v>867.89</v>
      </c>
      <c r="M156">
        <v>1349.94</v>
      </c>
      <c r="N156">
        <v>0.184</v>
      </c>
      <c r="O156">
        <v>10</v>
      </c>
    </row>
    <row r="157" spans="1:15" x14ac:dyDescent="0.25">
      <c r="A157" t="s">
        <v>170</v>
      </c>
      <c r="B157" s="2">
        <v>45511</v>
      </c>
      <c r="C157" s="2">
        <v>45521</v>
      </c>
      <c r="D157" t="s">
        <v>647</v>
      </c>
      <c r="E157" t="s">
        <v>652</v>
      </c>
      <c r="F157" t="s">
        <v>666</v>
      </c>
      <c r="G157" t="s">
        <v>704</v>
      </c>
      <c r="H157" t="s">
        <v>708</v>
      </c>
      <c r="I157" t="s">
        <v>723</v>
      </c>
      <c r="J157" t="s">
        <v>729</v>
      </c>
      <c r="K157" t="s">
        <v>889</v>
      </c>
      <c r="L157">
        <v>436.58</v>
      </c>
      <c r="M157">
        <v>527.48</v>
      </c>
      <c r="N157">
        <v>0.111</v>
      </c>
      <c r="O157">
        <v>19</v>
      </c>
    </row>
    <row r="158" spans="1:15" x14ac:dyDescent="0.25">
      <c r="A158" t="s">
        <v>171</v>
      </c>
      <c r="B158" s="2">
        <v>45323</v>
      </c>
      <c r="C158" s="2">
        <v>45343</v>
      </c>
      <c r="D158" t="s">
        <v>649</v>
      </c>
      <c r="E158" t="s">
        <v>657</v>
      </c>
      <c r="F158" t="s">
        <v>690</v>
      </c>
      <c r="G158" t="s">
        <v>705</v>
      </c>
      <c r="H158" t="s">
        <v>709</v>
      </c>
      <c r="I158" t="s">
        <v>720</v>
      </c>
      <c r="J158" t="s">
        <v>729</v>
      </c>
      <c r="K158" t="s">
        <v>890</v>
      </c>
      <c r="L158">
        <v>656.2</v>
      </c>
      <c r="M158">
        <v>1467.17</v>
      </c>
      <c r="N158">
        <v>1.7999999999999999E-2</v>
      </c>
      <c r="O158">
        <v>5</v>
      </c>
    </row>
    <row r="159" spans="1:15" x14ac:dyDescent="0.25">
      <c r="A159" t="s">
        <v>172</v>
      </c>
      <c r="B159" s="2">
        <v>45531</v>
      </c>
      <c r="C159" s="2">
        <v>45553</v>
      </c>
      <c r="D159" t="s">
        <v>647</v>
      </c>
      <c r="E159" t="s">
        <v>654</v>
      </c>
      <c r="F159" t="s">
        <v>680</v>
      </c>
      <c r="G159" t="s">
        <v>704</v>
      </c>
      <c r="H159" t="s">
        <v>711</v>
      </c>
      <c r="I159" t="s">
        <v>717</v>
      </c>
      <c r="J159" t="s">
        <v>727</v>
      </c>
      <c r="K159" t="s">
        <v>891</v>
      </c>
      <c r="L159">
        <v>896.75</v>
      </c>
      <c r="M159">
        <v>1651.14</v>
      </c>
      <c r="N159">
        <v>2.5000000000000001E-2</v>
      </c>
      <c r="O159">
        <v>15</v>
      </c>
    </row>
    <row r="160" spans="1:15" x14ac:dyDescent="0.25">
      <c r="A160" t="s">
        <v>173</v>
      </c>
      <c r="B160" s="2">
        <v>45703</v>
      </c>
      <c r="C160" s="2">
        <v>45703</v>
      </c>
      <c r="D160" t="s">
        <v>649</v>
      </c>
      <c r="E160" t="s">
        <v>656</v>
      </c>
      <c r="F160" t="s">
        <v>698</v>
      </c>
      <c r="G160" t="s">
        <v>705</v>
      </c>
      <c r="H160" t="s">
        <v>709</v>
      </c>
      <c r="I160" t="s">
        <v>716</v>
      </c>
      <c r="J160" t="s">
        <v>733</v>
      </c>
      <c r="K160" t="s">
        <v>892</v>
      </c>
      <c r="L160">
        <v>815.83</v>
      </c>
      <c r="M160">
        <v>1982.18</v>
      </c>
      <c r="N160">
        <v>0.127</v>
      </c>
      <c r="O160">
        <v>6</v>
      </c>
    </row>
    <row r="161" spans="1:15" x14ac:dyDescent="0.25">
      <c r="A161" t="s">
        <v>174</v>
      </c>
      <c r="B161" s="2">
        <v>45870</v>
      </c>
      <c r="C161" s="2">
        <v>45890</v>
      </c>
      <c r="D161" t="s">
        <v>647</v>
      </c>
      <c r="E161" t="s">
        <v>659</v>
      </c>
      <c r="F161" t="s">
        <v>685</v>
      </c>
      <c r="G161" t="s">
        <v>701</v>
      </c>
      <c r="H161" t="s">
        <v>711</v>
      </c>
      <c r="I161" t="s">
        <v>714</v>
      </c>
      <c r="J161" t="s">
        <v>730</v>
      </c>
      <c r="K161" t="s">
        <v>893</v>
      </c>
      <c r="L161">
        <v>1220.4100000000001</v>
      </c>
      <c r="M161">
        <v>2552.2199999999998</v>
      </c>
      <c r="N161">
        <v>0.18099999999999999</v>
      </c>
      <c r="O161">
        <v>14</v>
      </c>
    </row>
    <row r="162" spans="1:15" x14ac:dyDescent="0.25">
      <c r="A162" t="s">
        <v>175</v>
      </c>
      <c r="B162" s="2">
        <v>44977</v>
      </c>
      <c r="C162" s="2">
        <v>44989</v>
      </c>
      <c r="D162" t="s">
        <v>647</v>
      </c>
      <c r="E162" t="s">
        <v>654</v>
      </c>
      <c r="F162" t="s">
        <v>680</v>
      </c>
      <c r="G162" t="s">
        <v>704</v>
      </c>
      <c r="H162" t="s">
        <v>710</v>
      </c>
      <c r="I162" t="s">
        <v>724</v>
      </c>
      <c r="J162" t="s">
        <v>732</v>
      </c>
      <c r="K162" t="s">
        <v>894</v>
      </c>
      <c r="L162">
        <v>299.75</v>
      </c>
      <c r="M162">
        <v>523.01</v>
      </c>
      <c r="N162">
        <v>0.157</v>
      </c>
      <c r="O162">
        <v>50</v>
      </c>
    </row>
    <row r="163" spans="1:15" x14ac:dyDescent="0.25">
      <c r="A163" t="s">
        <v>176</v>
      </c>
      <c r="B163" s="2">
        <v>45595</v>
      </c>
      <c r="C163" s="2">
        <v>45620</v>
      </c>
      <c r="D163" t="s">
        <v>647</v>
      </c>
      <c r="E163" t="s">
        <v>659</v>
      </c>
      <c r="F163" t="s">
        <v>676</v>
      </c>
      <c r="G163" t="s">
        <v>705</v>
      </c>
      <c r="H163" t="s">
        <v>708</v>
      </c>
      <c r="I163" t="s">
        <v>718</v>
      </c>
      <c r="J163" t="s">
        <v>727</v>
      </c>
      <c r="K163" t="s">
        <v>895</v>
      </c>
      <c r="L163">
        <v>811.05</v>
      </c>
      <c r="M163">
        <v>1217.71</v>
      </c>
      <c r="N163">
        <v>7.1999999999999995E-2</v>
      </c>
      <c r="O163">
        <v>5</v>
      </c>
    </row>
    <row r="164" spans="1:15" x14ac:dyDescent="0.25">
      <c r="A164" t="s">
        <v>177</v>
      </c>
      <c r="B164" s="2">
        <v>45385</v>
      </c>
      <c r="C164" s="2">
        <v>45389</v>
      </c>
      <c r="D164" t="s">
        <v>648</v>
      </c>
      <c r="E164" t="s">
        <v>655</v>
      </c>
      <c r="F164" t="s">
        <v>672</v>
      </c>
      <c r="G164" t="s">
        <v>703</v>
      </c>
      <c r="H164" t="s">
        <v>711</v>
      </c>
      <c r="I164" t="s">
        <v>725</v>
      </c>
      <c r="J164" t="s">
        <v>730</v>
      </c>
      <c r="K164" t="s">
        <v>896</v>
      </c>
      <c r="L164">
        <v>1023.27</v>
      </c>
      <c r="M164">
        <v>1343.64</v>
      </c>
      <c r="N164">
        <v>0.13300000000000001</v>
      </c>
      <c r="O164">
        <v>7</v>
      </c>
    </row>
    <row r="165" spans="1:15" x14ac:dyDescent="0.25">
      <c r="A165" t="s">
        <v>178</v>
      </c>
      <c r="B165" s="2">
        <v>45010</v>
      </c>
      <c r="C165" s="2">
        <v>45011</v>
      </c>
      <c r="D165" t="s">
        <v>647</v>
      </c>
      <c r="E165" t="s">
        <v>652</v>
      </c>
      <c r="F165" t="s">
        <v>666</v>
      </c>
      <c r="G165" t="s">
        <v>705</v>
      </c>
      <c r="H165" t="s">
        <v>710</v>
      </c>
      <c r="I165" t="s">
        <v>714</v>
      </c>
      <c r="J165" t="s">
        <v>732</v>
      </c>
      <c r="K165" t="s">
        <v>897</v>
      </c>
      <c r="L165">
        <v>135.12</v>
      </c>
      <c r="M165">
        <v>301.7</v>
      </c>
      <c r="N165">
        <v>0.14000000000000001</v>
      </c>
      <c r="O165">
        <v>47</v>
      </c>
    </row>
    <row r="166" spans="1:15" x14ac:dyDescent="0.25">
      <c r="A166" t="s">
        <v>179</v>
      </c>
      <c r="B166" s="2">
        <v>45447</v>
      </c>
      <c r="C166" s="2">
        <v>45459</v>
      </c>
      <c r="D166" t="s">
        <v>647</v>
      </c>
      <c r="E166" t="s">
        <v>659</v>
      </c>
      <c r="F166" t="s">
        <v>685</v>
      </c>
      <c r="G166" t="s">
        <v>701</v>
      </c>
      <c r="H166" t="s">
        <v>707</v>
      </c>
      <c r="I166" t="s">
        <v>713</v>
      </c>
      <c r="J166" t="s">
        <v>728</v>
      </c>
      <c r="K166" t="s">
        <v>898</v>
      </c>
      <c r="L166">
        <v>918.42</v>
      </c>
      <c r="M166">
        <v>1511.71</v>
      </c>
      <c r="N166">
        <v>0.02</v>
      </c>
      <c r="O166">
        <v>8</v>
      </c>
    </row>
    <row r="167" spans="1:15" x14ac:dyDescent="0.25">
      <c r="A167" t="s">
        <v>180</v>
      </c>
      <c r="B167" s="2">
        <v>44976</v>
      </c>
      <c r="C167" s="2">
        <v>44997</v>
      </c>
      <c r="D167" t="s">
        <v>649</v>
      </c>
      <c r="E167" t="s">
        <v>656</v>
      </c>
      <c r="F167" t="s">
        <v>671</v>
      </c>
      <c r="G167" t="s">
        <v>705</v>
      </c>
      <c r="H167" t="s">
        <v>711</v>
      </c>
      <c r="I167" t="s">
        <v>716</v>
      </c>
      <c r="J167" t="s">
        <v>732</v>
      </c>
      <c r="K167" t="s">
        <v>899</v>
      </c>
      <c r="L167">
        <v>1234.81</v>
      </c>
      <c r="M167">
        <v>2055.2399999999998</v>
      </c>
      <c r="N167">
        <v>5.2999999999999999E-2</v>
      </c>
      <c r="O167">
        <v>44</v>
      </c>
    </row>
    <row r="168" spans="1:15" x14ac:dyDescent="0.25">
      <c r="A168" t="s">
        <v>181</v>
      </c>
      <c r="B168" s="2">
        <v>45034</v>
      </c>
      <c r="C168" s="2">
        <v>45064</v>
      </c>
      <c r="D168" t="s">
        <v>647</v>
      </c>
      <c r="E168" t="s">
        <v>659</v>
      </c>
      <c r="F168" t="s">
        <v>676</v>
      </c>
      <c r="G168" t="s">
        <v>703</v>
      </c>
      <c r="H168" t="s">
        <v>707</v>
      </c>
      <c r="I168" t="s">
        <v>722</v>
      </c>
      <c r="J168" t="s">
        <v>731</v>
      </c>
      <c r="K168" t="s">
        <v>900</v>
      </c>
      <c r="L168">
        <v>329.03</v>
      </c>
      <c r="M168">
        <v>391.15</v>
      </c>
      <c r="N168">
        <v>0.19700000000000001</v>
      </c>
      <c r="O168">
        <v>46</v>
      </c>
    </row>
    <row r="169" spans="1:15" x14ac:dyDescent="0.25">
      <c r="A169" t="s">
        <v>182</v>
      </c>
      <c r="B169" s="2">
        <v>45435</v>
      </c>
      <c r="C169" s="2">
        <v>45457</v>
      </c>
      <c r="D169" t="s">
        <v>649</v>
      </c>
      <c r="E169" t="s">
        <v>657</v>
      </c>
      <c r="F169" t="s">
        <v>673</v>
      </c>
      <c r="G169" t="s">
        <v>705</v>
      </c>
      <c r="H169" t="s">
        <v>708</v>
      </c>
      <c r="I169" t="s">
        <v>725</v>
      </c>
      <c r="J169" t="s">
        <v>732</v>
      </c>
      <c r="K169" t="s">
        <v>901</v>
      </c>
      <c r="L169">
        <v>1481.74</v>
      </c>
      <c r="M169">
        <v>1848.97</v>
      </c>
      <c r="N169">
        <v>0.254</v>
      </c>
      <c r="O169">
        <v>9</v>
      </c>
    </row>
    <row r="170" spans="1:15" x14ac:dyDescent="0.25">
      <c r="A170" t="s">
        <v>183</v>
      </c>
      <c r="B170" s="2">
        <v>45206</v>
      </c>
      <c r="C170" s="2">
        <v>45222</v>
      </c>
      <c r="D170" t="s">
        <v>647</v>
      </c>
      <c r="E170" t="s">
        <v>654</v>
      </c>
      <c r="F170" t="s">
        <v>696</v>
      </c>
      <c r="G170" t="s">
        <v>704</v>
      </c>
      <c r="H170" t="s">
        <v>707</v>
      </c>
      <c r="I170" t="s">
        <v>715</v>
      </c>
      <c r="J170" t="s">
        <v>732</v>
      </c>
      <c r="K170" t="s">
        <v>902</v>
      </c>
      <c r="L170">
        <v>906.81</v>
      </c>
      <c r="M170">
        <v>1395.56</v>
      </c>
      <c r="N170">
        <v>0.185</v>
      </c>
      <c r="O170">
        <v>6</v>
      </c>
    </row>
    <row r="171" spans="1:15" x14ac:dyDescent="0.25">
      <c r="A171" t="s">
        <v>184</v>
      </c>
      <c r="B171" s="2">
        <v>45574</v>
      </c>
      <c r="C171" s="2">
        <v>45604</v>
      </c>
      <c r="D171" t="s">
        <v>649</v>
      </c>
      <c r="E171" t="s">
        <v>658</v>
      </c>
      <c r="F171" t="s">
        <v>693</v>
      </c>
      <c r="G171" t="s">
        <v>705</v>
      </c>
      <c r="H171" t="s">
        <v>710</v>
      </c>
      <c r="I171" t="s">
        <v>713</v>
      </c>
      <c r="J171" t="s">
        <v>727</v>
      </c>
      <c r="K171" t="s">
        <v>903</v>
      </c>
      <c r="L171">
        <v>343.85</v>
      </c>
      <c r="M171">
        <v>538.04</v>
      </c>
      <c r="N171">
        <v>0.13900000000000001</v>
      </c>
      <c r="O171">
        <v>5</v>
      </c>
    </row>
    <row r="172" spans="1:15" x14ac:dyDescent="0.25">
      <c r="A172" t="s">
        <v>185</v>
      </c>
      <c r="B172" s="2">
        <v>45488</v>
      </c>
      <c r="C172" s="2">
        <v>45488</v>
      </c>
      <c r="D172" t="s">
        <v>647</v>
      </c>
      <c r="E172" t="s">
        <v>652</v>
      </c>
      <c r="F172" t="s">
        <v>689</v>
      </c>
      <c r="G172" t="s">
        <v>705</v>
      </c>
      <c r="H172" t="s">
        <v>709</v>
      </c>
      <c r="I172" t="s">
        <v>715</v>
      </c>
      <c r="J172" t="s">
        <v>733</v>
      </c>
      <c r="K172" t="s">
        <v>904</v>
      </c>
      <c r="L172">
        <v>801.77</v>
      </c>
      <c r="M172">
        <v>1218.92</v>
      </c>
      <c r="N172">
        <v>0.254</v>
      </c>
      <c r="O172">
        <v>16</v>
      </c>
    </row>
    <row r="173" spans="1:15" x14ac:dyDescent="0.25">
      <c r="A173" t="s">
        <v>186</v>
      </c>
      <c r="B173" s="2">
        <v>45190</v>
      </c>
      <c r="C173" s="2">
        <v>45209</v>
      </c>
      <c r="D173" t="s">
        <v>647</v>
      </c>
      <c r="E173" t="s">
        <v>652</v>
      </c>
      <c r="F173" t="s">
        <v>689</v>
      </c>
      <c r="G173" t="s">
        <v>702</v>
      </c>
      <c r="H173" t="s">
        <v>708</v>
      </c>
      <c r="I173" t="s">
        <v>726</v>
      </c>
      <c r="J173" t="s">
        <v>727</v>
      </c>
      <c r="K173" t="s">
        <v>905</v>
      </c>
      <c r="L173">
        <v>845.63</v>
      </c>
      <c r="M173">
        <v>2062.12</v>
      </c>
      <c r="N173">
        <v>0.13400000000000001</v>
      </c>
      <c r="O173">
        <v>5</v>
      </c>
    </row>
    <row r="174" spans="1:15" x14ac:dyDescent="0.25">
      <c r="A174" t="s">
        <v>187</v>
      </c>
      <c r="B174" s="2">
        <v>44981</v>
      </c>
      <c r="C174" s="2">
        <v>44994</v>
      </c>
      <c r="D174" t="s">
        <v>648</v>
      </c>
      <c r="E174" t="s">
        <v>660</v>
      </c>
      <c r="F174" t="s">
        <v>700</v>
      </c>
      <c r="G174" t="s">
        <v>706</v>
      </c>
      <c r="H174" t="s">
        <v>708</v>
      </c>
      <c r="I174" t="s">
        <v>724</v>
      </c>
      <c r="J174" t="s">
        <v>727</v>
      </c>
      <c r="K174" t="s">
        <v>906</v>
      </c>
      <c r="L174">
        <v>6.85</v>
      </c>
      <c r="M174">
        <v>10.18</v>
      </c>
      <c r="N174">
        <v>4.7E-2</v>
      </c>
      <c r="O174">
        <v>10</v>
      </c>
    </row>
    <row r="175" spans="1:15" x14ac:dyDescent="0.25">
      <c r="A175" t="s">
        <v>188</v>
      </c>
      <c r="B175" s="2">
        <v>45798</v>
      </c>
      <c r="C175" s="2">
        <v>45796</v>
      </c>
      <c r="D175" t="s">
        <v>646</v>
      </c>
      <c r="E175" t="s">
        <v>661</v>
      </c>
      <c r="F175" t="s">
        <v>682</v>
      </c>
      <c r="G175" t="s">
        <v>703</v>
      </c>
      <c r="H175" t="s">
        <v>710</v>
      </c>
      <c r="I175" t="s">
        <v>719</v>
      </c>
      <c r="J175" t="s">
        <v>731</v>
      </c>
      <c r="K175" t="s">
        <v>907</v>
      </c>
      <c r="L175">
        <v>1263.8399999999999</v>
      </c>
      <c r="M175">
        <v>2281.7199999999998</v>
      </c>
      <c r="N175">
        <v>7.8E-2</v>
      </c>
      <c r="O175">
        <v>15</v>
      </c>
    </row>
    <row r="176" spans="1:15" x14ac:dyDescent="0.25">
      <c r="A176" t="s">
        <v>189</v>
      </c>
      <c r="B176" s="2">
        <v>45435</v>
      </c>
      <c r="C176" s="2">
        <v>45446</v>
      </c>
      <c r="D176" t="s">
        <v>646</v>
      </c>
      <c r="E176" t="s">
        <v>661</v>
      </c>
      <c r="F176" t="s">
        <v>682</v>
      </c>
      <c r="G176" t="s">
        <v>705</v>
      </c>
      <c r="H176" t="s">
        <v>710</v>
      </c>
      <c r="I176" t="s">
        <v>721</v>
      </c>
      <c r="J176" t="s">
        <v>728</v>
      </c>
      <c r="K176" t="s">
        <v>908</v>
      </c>
      <c r="L176">
        <v>180.89</v>
      </c>
      <c r="M176">
        <v>249.57</v>
      </c>
      <c r="N176">
        <v>2.1999999999999999E-2</v>
      </c>
      <c r="O176">
        <v>8</v>
      </c>
    </row>
    <row r="177" spans="1:15" x14ac:dyDescent="0.25">
      <c r="A177" t="s">
        <v>190</v>
      </c>
      <c r="B177" s="2">
        <v>45761</v>
      </c>
      <c r="C177" s="2">
        <v>45781</v>
      </c>
      <c r="D177" t="s">
        <v>649</v>
      </c>
      <c r="E177" t="s">
        <v>658</v>
      </c>
      <c r="F177" t="s">
        <v>674</v>
      </c>
      <c r="G177" t="s">
        <v>706</v>
      </c>
      <c r="H177" t="s">
        <v>709</v>
      </c>
      <c r="I177" t="s">
        <v>723</v>
      </c>
      <c r="J177" t="s">
        <v>732</v>
      </c>
      <c r="K177" t="s">
        <v>909</v>
      </c>
      <c r="L177">
        <v>1413.87</v>
      </c>
      <c r="M177">
        <v>3275</v>
      </c>
      <c r="N177">
        <v>0.255</v>
      </c>
      <c r="O177">
        <v>38</v>
      </c>
    </row>
    <row r="178" spans="1:15" x14ac:dyDescent="0.25">
      <c r="A178" t="s">
        <v>191</v>
      </c>
      <c r="B178" s="2">
        <v>45165</v>
      </c>
      <c r="C178" s="2">
        <v>45180</v>
      </c>
      <c r="D178" t="s">
        <v>649</v>
      </c>
      <c r="E178" t="s">
        <v>658</v>
      </c>
      <c r="F178" t="s">
        <v>683</v>
      </c>
      <c r="G178" t="s">
        <v>704</v>
      </c>
      <c r="H178" t="s">
        <v>709</v>
      </c>
      <c r="I178" t="s">
        <v>725</v>
      </c>
      <c r="J178" t="s">
        <v>728</v>
      </c>
      <c r="K178" t="s">
        <v>910</v>
      </c>
      <c r="L178">
        <v>943.79</v>
      </c>
      <c r="M178">
        <v>1913.76</v>
      </c>
      <c r="N178">
        <v>9.0999999999999998E-2</v>
      </c>
      <c r="O178">
        <v>9</v>
      </c>
    </row>
    <row r="179" spans="1:15" x14ac:dyDescent="0.25">
      <c r="A179" t="s">
        <v>192</v>
      </c>
      <c r="B179" s="2">
        <v>45325</v>
      </c>
      <c r="C179" s="2">
        <v>45343</v>
      </c>
      <c r="D179" t="s">
        <v>649</v>
      </c>
      <c r="E179" t="s">
        <v>656</v>
      </c>
      <c r="F179" t="s">
        <v>698</v>
      </c>
      <c r="G179" t="s">
        <v>701</v>
      </c>
      <c r="H179" t="s">
        <v>707</v>
      </c>
      <c r="I179" t="s">
        <v>722</v>
      </c>
      <c r="J179" t="s">
        <v>727</v>
      </c>
      <c r="K179" t="s">
        <v>911</v>
      </c>
      <c r="L179">
        <v>39.229999999999997</v>
      </c>
      <c r="M179">
        <v>30.09</v>
      </c>
      <c r="N179">
        <v>0.17699999999999999</v>
      </c>
      <c r="O179">
        <v>13</v>
      </c>
    </row>
    <row r="180" spans="1:15" x14ac:dyDescent="0.25">
      <c r="A180" t="s">
        <v>193</v>
      </c>
      <c r="B180" s="2">
        <v>45021</v>
      </c>
      <c r="C180" s="2">
        <v>45032</v>
      </c>
      <c r="D180" t="s">
        <v>648</v>
      </c>
      <c r="E180" t="s">
        <v>653</v>
      </c>
      <c r="F180" t="s">
        <v>688</v>
      </c>
      <c r="G180" t="s">
        <v>703</v>
      </c>
      <c r="H180" t="s">
        <v>708</v>
      </c>
      <c r="I180" t="s">
        <v>719</v>
      </c>
      <c r="J180" t="s">
        <v>732</v>
      </c>
      <c r="K180" t="s">
        <v>912</v>
      </c>
      <c r="L180">
        <v>213.1</v>
      </c>
      <c r="M180">
        <v>501.31</v>
      </c>
      <c r="N180">
        <v>5.6000000000000001E-2</v>
      </c>
      <c r="O180">
        <v>15</v>
      </c>
    </row>
    <row r="181" spans="1:15" x14ac:dyDescent="0.25">
      <c r="A181" t="s">
        <v>194</v>
      </c>
      <c r="B181" s="2">
        <v>45890</v>
      </c>
      <c r="C181" s="2">
        <v>45912</v>
      </c>
      <c r="D181" t="s">
        <v>647</v>
      </c>
      <c r="E181" t="s">
        <v>659</v>
      </c>
      <c r="F181" t="s">
        <v>676</v>
      </c>
      <c r="G181" t="s">
        <v>702</v>
      </c>
      <c r="H181" t="s">
        <v>707</v>
      </c>
      <c r="I181" t="s">
        <v>717</v>
      </c>
      <c r="J181" t="s">
        <v>728</v>
      </c>
      <c r="K181" t="s">
        <v>913</v>
      </c>
      <c r="L181">
        <v>352.66</v>
      </c>
      <c r="M181">
        <v>411.18</v>
      </c>
      <c r="N181">
        <v>0.17299999999999999</v>
      </c>
      <c r="O181">
        <v>13</v>
      </c>
    </row>
    <row r="182" spans="1:15" x14ac:dyDescent="0.25">
      <c r="A182" t="s">
        <v>195</v>
      </c>
      <c r="B182" s="2">
        <v>45915</v>
      </c>
      <c r="C182" s="2">
        <v>45918</v>
      </c>
      <c r="D182" t="s">
        <v>648</v>
      </c>
      <c r="E182" t="s">
        <v>655</v>
      </c>
      <c r="F182" t="s">
        <v>692</v>
      </c>
      <c r="G182" t="s">
        <v>703</v>
      </c>
      <c r="H182" t="s">
        <v>711</v>
      </c>
      <c r="I182" t="s">
        <v>716</v>
      </c>
      <c r="J182" t="s">
        <v>733</v>
      </c>
      <c r="K182" t="s">
        <v>914</v>
      </c>
      <c r="L182">
        <v>5.5</v>
      </c>
      <c r="M182">
        <v>5.92</v>
      </c>
      <c r="N182">
        <v>0.21199999999999999</v>
      </c>
      <c r="O182">
        <v>4</v>
      </c>
    </row>
    <row r="183" spans="1:15" x14ac:dyDescent="0.25">
      <c r="A183" t="s">
        <v>196</v>
      </c>
      <c r="B183" s="2">
        <v>45568</v>
      </c>
      <c r="C183" s="2">
        <v>45576</v>
      </c>
      <c r="D183" t="s">
        <v>647</v>
      </c>
      <c r="E183" t="s">
        <v>659</v>
      </c>
      <c r="F183" t="s">
        <v>699</v>
      </c>
      <c r="G183" t="s">
        <v>706</v>
      </c>
      <c r="H183" t="s">
        <v>711</v>
      </c>
      <c r="I183" t="s">
        <v>717</v>
      </c>
      <c r="J183" t="s">
        <v>730</v>
      </c>
      <c r="K183" t="s">
        <v>915</v>
      </c>
      <c r="L183">
        <v>1132.6099999999999</v>
      </c>
      <c r="M183">
        <v>2206.63</v>
      </c>
      <c r="N183">
        <v>6.3E-2</v>
      </c>
      <c r="O183">
        <v>20</v>
      </c>
    </row>
    <row r="184" spans="1:15" x14ac:dyDescent="0.25">
      <c r="A184" t="s">
        <v>197</v>
      </c>
      <c r="B184" s="2">
        <v>45690</v>
      </c>
      <c r="C184" s="2">
        <v>45720</v>
      </c>
      <c r="D184" t="s">
        <v>647</v>
      </c>
      <c r="E184" t="s">
        <v>652</v>
      </c>
      <c r="F184" t="s">
        <v>666</v>
      </c>
      <c r="G184" t="s">
        <v>702</v>
      </c>
      <c r="H184" t="s">
        <v>710</v>
      </c>
      <c r="I184" t="s">
        <v>716</v>
      </c>
      <c r="J184" t="s">
        <v>733</v>
      </c>
      <c r="K184" t="s">
        <v>916</v>
      </c>
      <c r="L184">
        <v>766.59</v>
      </c>
      <c r="M184">
        <v>1912.8</v>
      </c>
      <c r="N184">
        <v>0.19600000000000001</v>
      </c>
      <c r="O184">
        <v>5</v>
      </c>
    </row>
    <row r="185" spans="1:15" x14ac:dyDescent="0.25">
      <c r="A185" t="s">
        <v>198</v>
      </c>
      <c r="B185" s="2">
        <v>45157</v>
      </c>
      <c r="C185" s="2">
        <v>45161</v>
      </c>
      <c r="D185" t="s">
        <v>646</v>
      </c>
      <c r="E185" t="s">
        <v>651</v>
      </c>
      <c r="F185" t="s">
        <v>669</v>
      </c>
      <c r="G185" t="s">
        <v>705</v>
      </c>
      <c r="H185" t="s">
        <v>708</v>
      </c>
      <c r="I185" t="s">
        <v>713</v>
      </c>
      <c r="J185" t="s">
        <v>732</v>
      </c>
      <c r="K185" t="s">
        <v>917</v>
      </c>
      <c r="L185">
        <v>790.63</v>
      </c>
      <c r="M185">
        <v>1382.31</v>
      </c>
      <c r="N185">
        <v>0.10100000000000001</v>
      </c>
      <c r="O185">
        <v>7</v>
      </c>
    </row>
    <row r="186" spans="1:15" x14ac:dyDescent="0.25">
      <c r="A186" t="s">
        <v>199</v>
      </c>
      <c r="B186" s="2">
        <v>45587</v>
      </c>
      <c r="C186" s="2">
        <v>45594</v>
      </c>
      <c r="D186" t="s">
        <v>646</v>
      </c>
      <c r="E186" t="s">
        <v>651</v>
      </c>
      <c r="F186" t="s">
        <v>663</v>
      </c>
      <c r="G186" t="s">
        <v>706</v>
      </c>
      <c r="H186" t="s">
        <v>710</v>
      </c>
      <c r="I186" t="s">
        <v>724</v>
      </c>
      <c r="J186" t="s">
        <v>732</v>
      </c>
      <c r="K186" t="s">
        <v>918</v>
      </c>
      <c r="L186">
        <v>1023.06</v>
      </c>
      <c r="M186">
        <v>1355.61</v>
      </c>
      <c r="N186">
        <v>0.153</v>
      </c>
      <c r="O186">
        <v>23</v>
      </c>
    </row>
    <row r="187" spans="1:15" x14ac:dyDescent="0.25">
      <c r="A187" t="s">
        <v>200</v>
      </c>
      <c r="B187" s="2">
        <v>45099</v>
      </c>
      <c r="C187" s="2">
        <v>45128</v>
      </c>
      <c r="D187" t="s">
        <v>649</v>
      </c>
      <c r="E187" t="s">
        <v>657</v>
      </c>
      <c r="F187" t="s">
        <v>679</v>
      </c>
      <c r="G187" t="s">
        <v>701</v>
      </c>
      <c r="H187" t="s">
        <v>707</v>
      </c>
      <c r="I187" t="s">
        <v>713</v>
      </c>
      <c r="J187" t="s">
        <v>733</v>
      </c>
      <c r="K187" t="s">
        <v>919</v>
      </c>
      <c r="L187">
        <v>734.34</v>
      </c>
      <c r="M187">
        <v>887.9</v>
      </c>
      <c r="N187">
        <v>2.5000000000000001E-2</v>
      </c>
      <c r="O187">
        <v>12</v>
      </c>
    </row>
    <row r="188" spans="1:15" x14ac:dyDescent="0.25">
      <c r="A188" t="s">
        <v>201</v>
      </c>
      <c r="B188" s="2">
        <v>45670</v>
      </c>
      <c r="C188" s="2">
        <v>45696</v>
      </c>
      <c r="D188" t="s">
        <v>649</v>
      </c>
      <c r="E188" t="s">
        <v>657</v>
      </c>
      <c r="F188" t="s">
        <v>690</v>
      </c>
      <c r="G188" t="s">
        <v>703</v>
      </c>
      <c r="I188" t="s">
        <v>718</v>
      </c>
      <c r="J188" t="s">
        <v>732</v>
      </c>
      <c r="K188" t="s">
        <v>920</v>
      </c>
      <c r="L188">
        <v>594.74</v>
      </c>
      <c r="M188">
        <v>1020.69</v>
      </c>
      <c r="N188">
        <v>0.21099999999999999</v>
      </c>
      <c r="O188">
        <v>6</v>
      </c>
    </row>
    <row r="189" spans="1:15" x14ac:dyDescent="0.25">
      <c r="A189" t="s">
        <v>144</v>
      </c>
      <c r="B189" s="2">
        <v>44955</v>
      </c>
      <c r="C189" s="2">
        <v>44985</v>
      </c>
      <c r="D189" t="s">
        <v>647</v>
      </c>
      <c r="E189" t="s">
        <v>654</v>
      </c>
      <c r="F189" t="s">
        <v>668</v>
      </c>
      <c r="G189" t="s">
        <v>703</v>
      </c>
      <c r="H189" t="s">
        <v>707</v>
      </c>
      <c r="I189" t="s">
        <v>717</v>
      </c>
      <c r="J189" t="s">
        <v>733</v>
      </c>
      <c r="K189" t="s">
        <v>921</v>
      </c>
      <c r="L189">
        <v>1262.0999999999999</v>
      </c>
      <c r="M189">
        <v>1395.53</v>
      </c>
      <c r="N189">
        <v>0.23300000000000001</v>
      </c>
      <c r="O189">
        <v>25</v>
      </c>
    </row>
    <row r="190" spans="1:15" x14ac:dyDescent="0.25">
      <c r="A190" t="s">
        <v>202</v>
      </c>
      <c r="B190" s="2">
        <v>45126</v>
      </c>
      <c r="C190" s="2">
        <v>45138</v>
      </c>
      <c r="D190" t="s">
        <v>648</v>
      </c>
      <c r="E190" t="s">
        <v>655</v>
      </c>
      <c r="F190" t="s">
        <v>692</v>
      </c>
      <c r="G190" t="s">
        <v>701</v>
      </c>
      <c r="H190" t="s">
        <v>707</v>
      </c>
      <c r="I190" t="s">
        <v>712</v>
      </c>
      <c r="J190" t="s">
        <v>732</v>
      </c>
      <c r="K190" t="s">
        <v>922</v>
      </c>
      <c r="L190">
        <v>1334.64</v>
      </c>
      <c r="M190">
        <v>2273.42</v>
      </c>
      <c r="N190">
        <v>0.11799999999999999</v>
      </c>
      <c r="O190">
        <v>14</v>
      </c>
    </row>
    <row r="191" spans="1:15" x14ac:dyDescent="0.25">
      <c r="A191" t="s">
        <v>203</v>
      </c>
      <c r="B191" s="2">
        <v>45431</v>
      </c>
      <c r="C191" s="2">
        <v>45451</v>
      </c>
      <c r="D191" t="s">
        <v>648</v>
      </c>
      <c r="E191" t="s">
        <v>655</v>
      </c>
      <c r="F191" t="s">
        <v>672</v>
      </c>
      <c r="G191" t="s">
        <v>705</v>
      </c>
      <c r="H191" t="s">
        <v>707</v>
      </c>
      <c r="I191" t="s">
        <v>718</v>
      </c>
      <c r="J191" t="s">
        <v>732</v>
      </c>
      <c r="K191" t="s">
        <v>923</v>
      </c>
      <c r="L191">
        <v>1075.9000000000001</v>
      </c>
      <c r="M191">
        <v>1242.1500000000001</v>
      </c>
      <c r="N191">
        <v>1.2E-2</v>
      </c>
      <c r="O191">
        <v>7</v>
      </c>
    </row>
    <row r="192" spans="1:15" x14ac:dyDescent="0.25">
      <c r="A192" t="s">
        <v>204</v>
      </c>
      <c r="B192" s="2">
        <v>45325</v>
      </c>
      <c r="C192" s="2">
        <v>45341</v>
      </c>
      <c r="D192" t="s">
        <v>647</v>
      </c>
      <c r="E192" t="s">
        <v>659</v>
      </c>
      <c r="F192" t="s">
        <v>676</v>
      </c>
      <c r="G192" t="s">
        <v>705</v>
      </c>
      <c r="H192" t="s">
        <v>708</v>
      </c>
      <c r="I192" t="s">
        <v>722</v>
      </c>
      <c r="J192" t="s">
        <v>731</v>
      </c>
      <c r="K192" t="s">
        <v>924</v>
      </c>
      <c r="L192">
        <v>993.75</v>
      </c>
      <c r="M192">
        <v>1310.29</v>
      </c>
      <c r="N192">
        <v>0.215</v>
      </c>
      <c r="O192">
        <v>19</v>
      </c>
    </row>
    <row r="193" spans="1:15" x14ac:dyDescent="0.25">
      <c r="A193" t="s">
        <v>205</v>
      </c>
      <c r="B193" s="2">
        <v>45146</v>
      </c>
      <c r="C193" s="2">
        <v>45160</v>
      </c>
      <c r="D193" t="s">
        <v>649</v>
      </c>
      <c r="E193" t="s">
        <v>658</v>
      </c>
      <c r="F193" t="s">
        <v>674</v>
      </c>
      <c r="G193" t="s">
        <v>703</v>
      </c>
      <c r="H193" t="s">
        <v>711</v>
      </c>
      <c r="I193" t="s">
        <v>725</v>
      </c>
      <c r="J193" t="s">
        <v>732</v>
      </c>
      <c r="K193" t="s">
        <v>925</v>
      </c>
      <c r="L193">
        <v>446.69</v>
      </c>
      <c r="M193">
        <v>967.25</v>
      </c>
      <c r="N193">
        <v>9.4E-2</v>
      </c>
      <c r="O193">
        <v>10</v>
      </c>
    </row>
    <row r="194" spans="1:15" x14ac:dyDescent="0.25">
      <c r="A194" t="s">
        <v>206</v>
      </c>
      <c r="B194" s="2">
        <v>45516</v>
      </c>
      <c r="C194" s="2">
        <v>45538</v>
      </c>
      <c r="D194" t="s">
        <v>648</v>
      </c>
      <c r="E194" t="s">
        <v>660</v>
      </c>
      <c r="F194" t="s">
        <v>697</v>
      </c>
      <c r="G194" t="s">
        <v>704</v>
      </c>
      <c r="H194" t="s">
        <v>710</v>
      </c>
      <c r="I194" t="s">
        <v>714</v>
      </c>
      <c r="J194" t="s">
        <v>731</v>
      </c>
      <c r="K194" t="s">
        <v>926</v>
      </c>
      <c r="L194">
        <v>797.8</v>
      </c>
      <c r="M194">
        <v>886.22</v>
      </c>
      <c r="N194">
        <v>0.23599999999999999</v>
      </c>
      <c r="O194">
        <v>36</v>
      </c>
    </row>
    <row r="195" spans="1:15" x14ac:dyDescent="0.25">
      <c r="A195" t="s">
        <v>207</v>
      </c>
      <c r="B195" s="2">
        <v>45214</v>
      </c>
      <c r="C195" s="2">
        <v>45243</v>
      </c>
      <c r="D195" t="s">
        <v>647</v>
      </c>
      <c r="E195" t="s">
        <v>659</v>
      </c>
      <c r="F195" t="s">
        <v>676</v>
      </c>
      <c r="G195" t="s">
        <v>703</v>
      </c>
      <c r="H195" t="s">
        <v>710</v>
      </c>
      <c r="I195" t="s">
        <v>713</v>
      </c>
      <c r="J195" t="s">
        <v>728</v>
      </c>
      <c r="K195" t="s">
        <v>927</v>
      </c>
      <c r="L195">
        <v>986.44</v>
      </c>
      <c r="M195">
        <v>790.61</v>
      </c>
      <c r="N195">
        <v>7.1999999999999995E-2</v>
      </c>
      <c r="O195">
        <v>6</v>
      </c>
    </row>
    <row r="196" spans="1:15" x14ac:dyDescent="0.25">
      <c r="A196" t="s">
        <v>208</v>
      </c>
      <c r="B196" s="2">
        <v>45050</v>
      </c>
      <c r="C196" s="2">
        <v>45072</v>
      </c>
      <c r="D196" t="s">
        <v>648</v>
      </c>
      <c r="E196" t="s">
        <v>660</v>
      </c>
      <c r="F196" t="s">
        <v>686</v>
      </c>
      <c r="G196" t="s">
        <v>706</v>
      </c>
      <c r="H196" t="s">
        <v>708</v>
      </c>
      <c r="I196" t="s">
        <v>713</v>
      </c>
      <c r="J196" t="s">
        <v>729</v>
      </c>
      <c r="K196" t="s">
        <v>928</v>
      </c>
      <c r="L196">
        <v>249.71</v>
      </c>
      <c r="M196">
        <v>361.33</v>
      </c>
      <c r="N196">
        <v>9.4E-2</v>
      </c>
      <c r="O196">
        <v>12</v>
      </c>
    </row>
    <row r="197" spans="1:15" x14ac:dyDescent="0.25">
      <c r="A197" t="s">
        <v>209</v>
      </c>
      <c r="B197" s="2">
        <v>45557</v>
      </c>
      <c r="C197" s="2">
        <v>45566</v>
      </c>
      <c r="D197" t="s">
        <v>648</v>
      </c>
      <c r="E197" t="s">
        <v>655</v>
      </c>
      <c r="F197" t="s">
        <v>670</v>
      </c>
      <c r="G197" t="s">
        <v>703</v>
      </c>
      <c r="H197" t="s">
        <v>708</v>
      </c>
      <c r="I197" t="s">
        <v>723</v>
      </c>
      <c r="J197" t="s">
        <v>732</v>
      </c>
      <c r="K197" t="s">
        <v>929</v>
      </c>
      <c r="L197">
        <v>1378.8</v>
      </c>
      <c r="M197">
        <v>1952.04</v>
      </c>
      <c r="N197">
        <v>0.159</v>
      </c>
      <c r="O197">
        <v>19</v>
      </c>
    </row>
    <row r="198" spans="1:15" x14ac:dyDescent="0.25">
      <c r="A198" t="s">
        <v>210</v>
      </c>
      <c r="B198" s="2">
        <v>45588</v>
      </c>
      <c r="C198" s="2">
        <v>45610</v>
      </c>
      <c r="D198" t="s">
        <v>647</v>
      </c>
      <c r="E198" t="s">
        <v>652</v>
      </c>
      <c r="F198" t="s">
        <v>666</v>
      </c>
      <c r="G198" t="s">
        <v>703</v>
      </c>
      <c r="H198" t="s">
        <v>711</v>
      </c>
      <c r="I198" t="s">
        <v>717</v>
      </c>
      <c r="J198" t="s">
        <v>730</v>
      </c>
      <c r="K198" t="s">
        <v>930</v>
      </c>
      <c r="L198">
        <v>1406.4</v>
      </c>
      <c r="M198">
        <v>1564.76</v>
      </c>
      <c r="N198">
        <v>0.185</v>
      </c>
      <c r="O198">
        <v>17</v>
      </c>
    </row>
    <row r="199" spans="1:15" x14ac:dyDescent="0.25">
      <c r="A199" t="s">
        <v>211</v>
      </c>
      <c r="B199" s="2">
        <v>45333</v>
      </c>
      <c r="C199" s="2">
        <v>45354</v>
      </c>
      <c r="D199" t="s">
        <v>646</v>
      </c>
      <c r="E199" t="s">
        <v>650</v>
      </c>
      <c r="F199" t="s">
        <v>662</v>
      </c>
      <c r="G199" t="s">
        <v>706</v>
      </c>
      <c r="H199" t="s">
        <v>708</v>
      </c>
      <c r="I199" t="s">
        <v>717</v>
      </c>
      <c r="J199" t="s">
        <v>730</v>
      </c>
      <c r="K199" t="s">
        <v>931</v>
      </c>
      <c r="L199">
        <v>516.86</v>
      </c>
      <c r="M199">
        <v>852.54</v>
      </c>
      <c r="N199">
        <v>5.0999999999999997E-2</v>
      </c>
      <c r="O199">
        <v>14</v>
      </c>
    </row>
    <row r="200" spans="1:15" x14ac:dyDescent="0.25">
      <c r="A200" t="s">
        <v>212</v>
      </c>
      <c r="B200" s="2">
        <v>44956</v>
      </c>
      <c r="C200" s="2">
        <v>44978</v>
      </c>
      <c r="D200" t="s">
        <v>649</v>
      </c>
      <c r="E200" t="s">
        <v>656</v>
      </c>
      <c r="F200" t="s">
        <v>684</v>
      </c>
      <c r="G200" t="s">
        <v>705</v>
      </c>
      <c r="H200" t="s">
        <v>709</v>
      </c>
      <c r="I200" t="s">
        <v>715</v>
      </c>
      <c r="J200" t="s">
        <v>729</v>
      </c>
      <c r="K200" t="s">
        <v>932</v>
      </c>
      <c r="L200">
        <v>1142.8800000000001</v>
      </c>
      <c r="M200">
        <v>1465.29</v>
      </c>
      <c r="N200">
        <v>0.186</v>
      </c>
      <c r="O200">
        <v>7</v>
      </c>
    </row>
    <row r="201" spans="1:15" x14ac:dyDescent="0.25">
      <c r="A201" t="s">
        <v>213</v>
      </c>
      <c r="B201" s="2">
        <v>45030</v>
      </c>
      <c r="C201" s="2">
        <v>45059</v>
      </c>
      <c r="D201" t="s">
        <v>649</v>
      </c>
      <c r="E201" t="s">
        <v>656</v>
      </c>
      <c r="F201" t="s">
        <v>698</v>
      </c>
      <c r="G201" t="s">
        <v>704</v>
      </c>
      <c r="H201" t="s">
        <v>711</v>
      </c>
      <c r="I201" t="s">
        <v>713</v>
      </c>
      <c r="J201" t="s">
        <v>728</v>
      </c>
      <c r="K201" t="s">
        <v>933</v>
      </c>
      <c r="L201">
        <v>1320.33</v>
      </c>
      <c r="M201">
        <v>2645.23</v>
      </c>
      <c r="N201">
        <v>0.155</v>
      </c>
      <c r="O201">
        <v>25</v>
      </c>
    </row>
    <row r="202" spans="1:15" x14ac:dyDescent="0.25">
      <c r="A202" t="s">
        <v>214</v>
      </c>
      <c r="B202" s="2">
        <v>44939</v>
      </c>
      <c r="C202" s="2">
        <v>44945</v>
      </c>
      <c r="D202" t="s">
        <v>648</v>
      </c>
      <c r="E202" t="s">
        <v>660</v>
      </c>
      <c r="F202" t="s">
        <v>677</v>
      </c>
      <c r="G202" t="s">
        <v>701</v>
      </c>
      <c r="H202" t="s">
        <v>711</v>
      </c>
      <c r="I202" t="s">
        <v>722</v>
      </c>
      <c r="J202" t="s">
        <v>730</v>
      </c>
      <c r="K202" t="s">
        <v>934</v>
      </c>
      <c r="L202">
        <v>833.57</v>
      </c>
      <c r="M202">
        <v>881.57</v>
      </c>
      <c r="N202">
        <v>5.7000000000000002E-2</v>
      </c>
      <c r="O202">
        <v>18</v>
      </c>
    </row>
    <row r="203" spans="1:15" x14ac:dyDescent="0.25">
      <c r="A203" t="s">
        <v>215</v>
      </c>
      <c r="B203" s="2">
        <v>45303</v>
      </c>
      <c r="C203" s="2">
        <v>45320</v>
      </c>
      <c r="D203" t="s">
        <v>648</v>
      </c>
      <c r="E203" t="s">
        <v>660</v>
      </c>
      <c r="F203" t="s">
        <v>677</v>
      </c>
      <c r="G203" t="s">
        <v>702</v>
      </c>
      <c r="H203" t="s">
        <v>710</v>
      </c>
      <c r="I203" t="s">
        <v>720</v>
      </c>
      <c r="J203" t="s">
        <v>728</v>
      </c>
      <c r="K203" t="s">
        <v>935</v>
      </c>
      <c r="L203">
        <v>493.76</v>
      </c>
      <c r="M203">
        <v>625.04</v>
      </c>
      <c r="N203">
        <v>0.25800000000000001</v>
      </c>
      <c r="O203">
        <v>10</v>
      </c>
    </row>
    <row r="204" spans="1:15" x14ac:dyDescent="0.25">
      <c r="A204" t="s">
        <v>216</v>
      </c>
      <c r="B204" s="2">
        <v>45153</v>
      </c>
      <c r="C204" s="2">
        <v>45176</v>
      </c>
      <c r="D204" t="s">
        <v>648</v>
      </c>
      <c r="E204" t="s">
        <v>660</v>
      </c>
      <c r="F204" t="s">
        <v>700</v>
      </c>
      <c r="G204" t="s">
        <v>706</v>
      </c>
      <c r="H204" t="s">
        <v>708</v>
      </c>
      <c r="I204" t="s">
        <v>723</v>
      </c>
      <c r="J204" t="s">
        <v>730</v>
      </c>
      <c r="K204" t="s">
        <v>936</v>
      </c>
      <c r="L204">
        <v>590.33000000000004</v>
      </c>
      <c r="M204">
        <v>973.04</v>
      </c>
      <c r="N204">
        <v>0</v>
      </c>
      <c r="O204">
        <v>26</v>
      </c>
    </row>
    <row r="205" spans="1:15" x14ac:dyDescent="0.25">
      <c r="A205" t="s">
        <v>217</v>
      </c>
      <c r="B205" s="2">
        <v>44946</v>
      </c>
      <c r="C205" s="2">
        <v>44960</v>
      </c>
      <c r="D205" t="s">
        <v>646</v>
      </c>
      <c r="E205" t="s">
        <v>650</v>
      </c>
      <c r="F205" t="s">
        <v>662</v>
      </c>
      <c r="G205" t="s">
        <v>701</v>
      </c>
      <c r="H205" t="s">
        <v>707</v>
      </c>
      <c r="I205" t="s">
        <v>724</v>
      </c>
      <c r="J205" t="s">
        <v>729</v>
      </c>
      <c r="K205" t="s">
        <v>937</v>
      </c>
      <c r="L205">
        <v>884.36</v>
      </c>
      <c r="M205">
        <v>1545.34</v>
      </c>
      <c r="N205">
        <v>0.24299999999999999</v>
      </c>
      <c r="O205">
        <v>41</v>
      </c>
    </row>
    <row r="206" spans="1:15" x14ac:dyDescent="0.25">
      <c r="A206" t="s">
        <v>218</v>
      </c>
      <c r="B206" s="2">
        <v>45692</v>
      </c>
      <c r="C206" s="2">
        <v>45713</v>
      </c>
      <c r="D206" t="s">
        <v>649</v>
      </c>
      <c r="E206" t="s">
        <v>658</v>
      </c>
      <c r="F206" t="s">
        <v>674</v>
      </c>
      <c r="G206" t="s">
        <v>701</v>
      </c>
      <c r="H206" t="s">
        <v>709</v>
      </c>
      <c r="I206" t="s">
        <v>726</v>
      </c>
      <c r="J206" t="s">
        <v>732</v>
      </c>
      <c r="K206" t="s">
        <v>938</v>
      </c>
      <c r="L206">
        <v>1016.32</v>
      </c>
      <c r="M206">
        <v>2253.42</v>
      </c>
      <c r="N206">
        <v>5.5E-2</v>
      </c>
      <c r="O206">
        <v>12</v>
      </c>
    </row>
    <row r="207" spans="1:15" x14ac:dyDescent="0.25">
      <c r="A207" t="s">
        <v>219</v>
      </c>
      <c r="B207" s="2">
        <v>45035</v>
      </c>
      <c r="C207" s="2">
        <v>45044</v>
      </c>
      <c r="D207" t="s">
        <v>649</v>
      </c>
      <c r="E207" t="s">
        <v>656</v>
      </c>
      <c r="F207" t="s">
        <v>671</v>
      </c>
      <c r="G207" t="s">
        <v>702</v>
      </c>
      <c r="H207" t="s">
        <v>708</v>
      </c>
      <c r="I207" t="s">
        <v>718</v>
      </c>
      <c r="J207" t="s">
        <v>732</v>
      </c>
      <c r="K207" t="s">
        <v>939</v>
      </c>
      <c r="L207">
        <v>1178.42</v>
      </c>
      <c r="M207">
        <v>2446.56</v>
      </c>
      <c r="N207">
        <v>2.9000000000000001E-2</v>
      </c>
      <c r="O207">
        <v>11</v>
      </c>
    </row>
    <row r="208" spans="1:15" x14ac:dyDescent="0.25">
      <c r="A208" t="s">
        <v>220</v>
      </c>
      <c r="B208" s="2">
        <v>45109</v>
      </c>
      <c r="C208" s="2">
        <v>45139</v>
      </c>
      <c r="D208" t="s">
        <v>649</v>
      </c>
      <c r="E208" t="s">
        <v>658</v>
      </c>
      <c r="F208" t="s">
        <v>674</v>
      </c>
      <c r="G208" t="s">
        <v>705</v>
      </c>
      <c r="H208" t="s">
        <v>707</v>
      </c>
      <c r="I208" t="s">
        <v>717</v>
      </c>
      <c r="J208" t="s">
        <v>727</v>
      </c>
      <c r="K208" t="s">
        <v>940</v>
      </c>
      <c r="L208">
        <v>137.46</v>
      </c>
      <c r="M208">
        <v>188.3</v>
      </c>
      <c r="N208">
        <v>3.7999999999999999E-2</v>
      </c>
      <c r="O208">
        <v>37</v>
      </c>
    </row>
    <row r="209" spans="1:15" x14ac:dyDescent="0.25">
      <c r="A209" t="s">
        <v>221</v>
      </c>
      <c r="B209" s="2">
        <v>45678</v>
      </c>
      <c r="C209" s="2">
        <v>45702</v>
      </c>
      <c r="D209" t="s">
        <v>646</v>
      </c>
      <c r="E209" t="s">
        <v>650</v>
      </c>
      <c r="F209" t="s">
        <v>664</v>
      </c>
      <c r="G209" t="s">
        <v>705</v>
      </c>
      <c r="H209" t="s">
        <v>707</v>
      </c>
      <c r="I209" t="s">
        <v>713</v>
      </c>
      <c r="J209" t="s">
        <v>733</v>
      </c>
      <c r="K209" t="s">
        <v>941</v>
      </c>
      <c r="L209">
        <v>1030.44</v>
      </c>
      <c r="M209">
        <v>2562.84</v>
      </c>
      <c r="N209">
        <v>0.14799999999999999</v>
      </c>
      <c r="O209">
        <v>13</v>
      </c>
    </row>
    <row r="210" spans="1:15" x14ac:dyDescent="0.25">
      <c r="A210" t="s">
        <v>222</v>
      </c>
      <c r="B210" s="2">
        <v>45545</v>
      </c>
      <c r="C210" s="2">
        <v>45572</v>
      </c>
      <c r="D210" t="s">
        <v>646</v>
      </c>
      <c r="E210" t="s">
        <v>650</v>
      </c>
      <c r="F210" t="s">
        <v>662</v>
      </c>
      <c r="G210" t="s">
        <v>704</v>
      </c>
      <c r="H210" t="s">
        <v>707</v>
      </c>
      <c r="I210" t="s">
        <v>716</v>
      </c>
      <c r="J210" t="s">
        <v>728</v>
      </c>
      <c r="K210" t="s">
        <v>942</v>
      </c>
      <c r="L210">
        <v>1248.3900000000001</v>
      </c>
      <c r="M210">
        <v>1805.11</v>
      </c>
      <c r="N210">
        <v>0.20300000000000001</v>
      </c>
      <c r="O210">
        <v>11</v>
      </c>
    </row>
    <row r="211" spans="1:15" x14ac:dyDescent="0.25">
      <c r="A211" t="s">
        <v>223</v>
      </c>
      <c r="B211" s="2">
        <v>45859</v>
      </c>
      <c r="C211" s="2">
        <v>45876</v>
      </c>
      <c r="D211" t="s">
        <v>646</v>
      </c>
      <c r="E211" t="s">
        <v>651</v>
      </c>
      <c r="F211" t="s">
        <v>665</v>
      </c>
      <c r="G211" t="s">
        <v>706</v>
      </c>
      <c r="H211" t="s">
        <v>711</v>
      </c>
      <c r="I211" t="s">
        <v>724</v>
      </c>
      <c r="J211" t="s">
        <v>733</v>
      </c>
      <c r="K211" t="s">
        <v>943</v>
      </c>
      <c r="L211">
        <v>1204.95</v>
      </c>
      <c r="M211">
        <v>2065.73</v>
      </c>
      <c r="N211">
        <v>0.13600000000000001</v>
      </c>
      <c r="O211">
        <v>10</v>
      </c>
    </row>
    <row r="212" spans="1:15" x14ac:dyDescent="0.25">
      <c r="A212" t="s">
        <v>224</v>
      </c>
      <c r="B212" s="2">
        <v>45567</v>
      </c>
      <c r="C212" s="2">
        <v>45588</v>
      </c>
      <c r="D212" t="s">
        <v>646</v>
      </c>
      <c r="E212" t="s">
        <v>661</v>
      </c>
      <c r="F212" t="s">
        <v>687</v>
      </c>
      <c r="G212" t="s">
        <v>701</v>
      </c>
      <c r="H212" t="s">
        <v>709</v>
      </c>
      <c r="I212" t="s">
        <v>720</v>
      </c>
      <c r="J212" t="s">
        <v>727</v>
      </c>
      <c r="K212" t="s">
        <v>944</v>
      </c>
      <c r="L212">
        <v>1095.6099999999999</v>
      </c>
      <c r="M212">
        <v>2366.5100000000002</v>
      </c>
      <c r="N212">
        <v>0.152</v>
      </c>
      <c r="O212">
        <v>9</v>
      </c>
    </row>
    <row r="213" spans="1:15" x14ac:dyDescent="0.25">
      <c r="A213" t="s">
        <v>225</v>
      </c>
      <c r="B213" s="2">
        <v>45852</v>
      </c>
      <c r="C213" s="2">
        <v>45873</v>
      </c>
      <c r="D213" t="s">
        <v>648</v>
      </c>
      <c r="E213" t="s">
        <v>653</v>
      </c>
      <c r="F213" t="s">
        <v>681</v>
      </c>
      <c r="G213" t="s">
        <v>704</v>
      </c>
      <c r="H213" t="s">
        <v>708</v>
      </c>
      <c r="I213" t="s">
        <v>722</v>
      </c>
      <c r="J213" t="s">
        <v>732</v>
      </c>
      <c r="K213" t="s">
        <v>945</v>
      </c>
      <c r="L213">
        <v>90.3</v>
      </c>
      <c r="M213">
        <v>131.76</v>
      </c>
      <c r="N213">
        <v>0.10199999999999999</v>
      </c>
      <c r="O213">
        <v>15</v>
      </c>
    </row>
    <row r="214" spans="1:15" x14ac:dyDescent="0.25">
      <c r="A214" t="s">
        <v>226</v>
      </c>
      <c r="B214" s="2">
        <v>45544</v>
      </c>
      <c r="C214" s="2">
        <v>45566</v>
      </c>
      <c r="D214" t="s">
        <v>647</v>
      </c>
      <c r="E214" t="s">
        <v>659</v>
      </c>
      <c r="F214" t="s">
        <v>676</v>
      </c>
      <c r="G214" t="s">
        <v>704</v>
      </c>
      <c r="H214" t="s">
        <v>711</v>
      </c>
      <c r="I214" t="s">
        <v>716</v>
      </c>
      <c r="J214" t="s">
        <v>728</v>
      </c>
      <c r="K214" t="s">
        <v>946</v>
      </c>
      <c r="L214">
        <v>1166.18</v>
      </c>
      <c r="M214">
        <v>1335.02</v>
      </c>
      <c r="N214">
        <v>0.128</v>
      </c>
      <c r="O214">
        <v>6</v>
      </c>
    </row>
    <row r="215" spans="1:15" x14ac:dyDescent="0.25">
      <c r="A215" t="s">
        <v>227</v>
      </c>
      <c r="B215" s="2">
        <v>45686</v>
      </c>
      <c r="C215" s="2">
        <v>45694</v>
      </c>
      <c r="D215" t="s">
        <v>646</v>
      </c>
      <c r="E215" t="s">
        <v>650</v>
      </c>
      <c r="F215" t="s">
        <v>662</v>
      </c>
      <c r="G215" t="s">
        <v>702</v>
      </c>
      <c r="H215" t="s">
        <v>707</v>
      </c>
      <c r="I215" t="s">
        <v>717</v>
      </c>
      <c r="J215" t="s">
        <v>730</v>
      </c>
      <c r="K215" t="s">
        <v>947</v>
      </c>
      <c r="L215">
        <v>1445.27</v>
      </c>
      <c r="M215">
        <v>2691.45</v>
      </c>
      <c r="N215">
        <v>0</v>
      </c>
      <c r="O215">
        <v>9</v>
      </c>
    </row>
    <row r="216" spans="1:15" x14ac:dyDescent="0.25">
      <c r="A216" t="s">
        <v>228</v>
      </c>
      <c r="B216" s="2">
        <v>45240</v>
      </c>
      <c r="C216" s="2">
        <v>45258</v>
      </c>
      <c r="D216" t="s">
        <v>648</v>
      </c>
      <c r="E216" t="s">
        <v>655</v>
      </c>
      <c r="F216" t="s">
        <v>672</v>
      </c>
      <c r="G216" t="s">
        <v>702</v>
      </c>
      <c r="H216" t="s">
        <v>709</v>
      </c>
      <c r="I216" t="s">
        <v>716</v>
      </c>
      <c r="J216" t="s">
        <v>733</v>
      </c>
      <c r="K216" t="s">
        <v>948</v>
      </c>
      <c r="L216">
        <v>388.51</v>
      </c>
      <c r="M216">
        <v>776.46</v>
      </c>
      <c r="N216">
        <v>0.157</v>
      </c>
      <c r="O216">
        <v>12</v>
      </c>
    </row>
    <row r="217" spans="1:15" x14ac:dyDescent="0.25">
      <c r="A217" t="s">
        <v>229</v>
      </c>
      <c r="B217" s="2">
        <v>45351</v>
      </c>
      <c r="C217" s="2">
        <v>45381</v>
      </c>
      <c r="D217" t="s">
        <v>647</v>
      </c>
      <c r="E217" t="s">
        <v>652</v>
      </c>
      <c r="F217" t="s">
        <v>694</v>
      </c>
      <c r="G217" t="s">
        <v>705</v>
      </c>
      <c r="H217" t="s">
        <v>711</v>
      </c>
      <c r="I217" t="s">
        <v>714</v>
      </c>
      <c r="J217" t="s">
        <v>729</v>
      </c>
      <c r="K217" t="s">
        <v>949</v>
      </c>
      <c r="L217">
        <v>231.11</v>
      </c>
      <c r="M217">
        <v>318.17</v>
      </c>
      <c r="N217">
        <v>0.20100000000000001</v>
      </c>
      <c r="O217">
        <v>60</v>
      </c>
    </row>
    <row r="218" spans="1:15" x14ac:dyDescent="0.25">
      <c r="A218" t="s">
        <v>230</v>
      </c>
      <c r="B218" s="2">
        <v>45280</v>
      </c>
      <c r="C218" s="2">
        <v>45305</v>
      </c>
      <c r="D218" t="s">
        <v>647</v>
      </c>
      <c r="E218" t="s">
        <v>654</v>
      </c>
      <c r="F218" t="s">
        <v>691</v>
      </c>
      <c r="G218" t="s">
        <v>703</v>
      </c>
      <c r="H218" t="s">
        <v>709</v>
      </c>
      <c r="I218" t="s">
        <v>716</v>
      </c>
      <c r="J218" t="s">
        <v>732</v>
      </c>
      <c r="K218" t="s">
        <v>950</v>
      </c>
      <c r="L218">
        <v>1085.6099999999999</v>
      </c>
      <c r="M218">
        <v>1246.4100000000001</v>
      </c>
      <c r="N218">
        <v>0.113</v>
      </c>
      <c r="O218">
        <v>7</v>
      </c>
    </row>
    <row r="219" spans="1:15" x14ac:dyDescent="0.25">
      <c r="A219" t="s">
        <v>231</v>
      </c>
      <c r="B219" s="2">
        <v>44948</v>
      </c>
      <c r="C219" s="2">
        <v>44947</v>
      </c>
      <c r="D219" t="s">
        <v>649</v>
      </c>
      <c r="E219" t="s">
        <v>656</v>
      </c>
      <c r="F219" t="s">
        <v>684</v>
      </c>
      <c r="G219" t="s">
        <v>701</v>
      </c>
      <c r="H219" t="s">
        <v>711</v>
      </c>
      <c r="I219" t="s">
        <v>721</v>
      </c>
      <c r="J219" t="s">
        <v>732</v>
      </c>
      <c r="K219" t="s">
        <v>951</v>
      </c>
      <c r="L219">
        <v>150.86000000000001</v>
      </c>
      <c r="M219">
        <v>346.96</v>
      </c>
      <c r="N219">
        <v>0.19600000000000001</v>
      </c>
      <c r="O219">
        <v>8</v>
      </c>
    </row>
    <row r="220" spans="1:15" x14ac:dyDescent="0.25">
      <c r="A220" t="s">
        <v>232</v>
      </c>
      <c r="B220" s="2">
        <v>45576</v>
      </c>
      <c r="C220" s="2">
        <v>45605</v>
      </c>
      <c r="D220" t="s">
        <v>647</v>
      </c>
      <c r="E220" t="s">
        <v>659</v>
      </c>
      <c r="F220" t="s">
        <v>685</v>
      </c>
      <c r="G220" t="s">
        <v>703</v>
      </c>
      <c r="H220" t="s">
        <v>708</v>
      </c>
      <c r="I220" t="s">
        <v>721</v>
      </c>
      <c r="J220" t="s">
        <v>728</v>
      </c>
      <c r="K220" t="s">
        <v>952</v>
      </c>
      <c r="L220">
        <v>391.64</v>
      </c>
      <c r="M220">
        <v>504.76</v>
      </c>
      <c r="N220">
        <v>4.0000000000000001E-3</v>
      </c>
      <c r="O220">
        <v>13</v>
      </c>
    </row>
    <row r="221" spans="1:15" x14ac:dyDescent="0.25">
      <c r="A221" t="s">
        <v>233</v>
      </c>
      <c r="B221" s="2">
        <v>45554</v>
      </c>
      <c r="C221" s="2">
        <v>45579</v>
      </c>
      <c r="D221" t="s">
        <v>648</v>
      </c>
      <c r="E221" t="s">
        <v>655</v>
      </c>
      <c r="F221" t="s">
        <v>692</v>
      </c>
      <c r="G221" t="s">
        <v>705</v>
      </c>
      <c r="H221" t="s">
        <v>707</v>
      </c>
      <c r="I221" t="s">
        <v>723</v>
      </c>
      <c r="J221" t="s">
        <v>728</v>
      </c>
      <c r="K221" t="s">
        <v>953</v>
      </c>
      <c r="L221">
        <v>386.96</v>
      </c>
      <c r="M221">
        <v>937.46</v>
      </c>
      <c r="N221">
        <v>0.26600000000000001</v>
      </c>
      <c r="O221">
        <v>41</v>
      </c>
    </row>
    <row r="222" spans="1:15" x14ac:dyDescent="0.25">
      <c r="A222" t="s">
        <v>234</v>
      </c>
      <c r="B222" s="2">
        <v>45894</v>
      </c>
      <c r="C222" s="2">
        <v>45924</v>
      </c>
      <c r="D222" t="s">
        <v>646</v>
      </c>
      <c r="E222" t="s">
        <v>650</v>
      </c>
      <c r="F222" t="s">
        <v>664</v>
      </c>
      <c r="G222" t="s">
        <v>704</v>
      </c>
      <c r="H222" t="s">
        <v>711</v>
      </c>
      <c r="I222" t="s">
        <v>717</v>
      </c>
      <c r="J222" t="s">
        <v>727</v>
      </c>
      <c r="K222" t="s">
        <v>954</v>
      </c>
      <c r="L222">
        <v>589.14</v>
      </c>
      <c r="M222">
        <v>1300.58</v>
      </c>
      <c r="N222">
        <v>5.5E-2</v>
      </c>
      <c r="O222">
        <v>11</v>
      </c>
    </row>
    <row r="223" spans="1:15" x14ac:dyDescent="0.25">
      <c r="A223" t="s">
        <v>235</v>
      </c>
      <c r="B223" s="2">
        <v>45194</v>
      </c>
      <c r="C223" s="2">
        <v>45201</v>
      </c>
      <c r="D223" t="s">
        <v>648</v>
      </c>
      <c r="E223" t="s">
        <v>660</v>
      </c>
      <c r="F223" t="s">
        <v>700</v>
      </c>
      <c r="G223" t="s">
        <v>702</v>
      </c>
      <c r="H223" t="s">
        <v>709</v>
      </c>
      <c r="I223" t="s">
        <v>714</v>
      </c>
      <c r="J223" t="s">
        <v>733</v>
      </c>
      <c r="K223" t="s">
        <v>955</v>
      </c>
      <c r="L223">
        <v>145.58000000000001</v>
      </c>
      <c r="M223">
        <v>228.15</v>
      </c>
      <c r="N223">
        <v>0.20399999999999999</v>
      </c>
      <c r="O223">
        <v>5</v>
      </c>
    </row>
    <row r="224" spans="1:15" x14ac:dyDescent="0.25">
      <c r="A224" t="s">
        <v>236</v>
      </c>
      <c r="B224" s="2">
        <v>45164</v>
      </c>
      <c r="C224" s="2">
        <v>45179</v>
      </c>
      <c r="D224" t="s">
        <v>646</v>
      </c>
      <c r="E224" t="s">
        <v>661</v>
      </c>
      <c r="F224" t="s">
        <v>695</v>
      </c>
      <c r="G224" t="s">
        <v>703</v>
      </c>
      <c r="H224" t="s">
        <v>711</v>
      </c>
      <c r="I224" t="s">
        <v>725</v>
      </c>
      <c r="J224" t="s">
        <v>727</v>
      </c>
      <c r="K224" t="s">
        <v>956</v>
      </c>
      <c r="L224">
        <v>241.14</v>
      </c>
      <c r="M224">
        <v>496.52</v>
      </c>
      <c r="N224">
        <v>9.2999999999999999E-2</v>
      </c>
      <c r="O224">
        <v>10</v>
      </c>
    </row>
    <row r="225" spans="1:15" x14ac:dyDescent="0.25">
      <c r="A225" t="s">
        <v>237</v>
      </c>
      <c r="B225" s="2">
        <v>45854</v>
      </c>
      <c r="C225" s="2">
        <v>45855</v>
      </c>
      <c r="D225" t="s">
        <v>646</v>
      </c>
      <c r="E225" t="s">
        <v>661</v>
      </c>
      <c r="F225" t="s">
        <v>687</v>
      </c>
      <c r="G225" t="s">
        <v>705</v>
      </c>
      <c r="H225" t="s">
        <v>710</v>
      </c>
      <c r="I225" t="s">
        <v>717</v>
      </c>
      <c r="J225" t="s">
        <v>729</v>
      </c>
      <c r="K225" t="s">
        <v>957</v>
      </c>
      <c r="L225">
        <v>1198.9000000000001</v>
      </c>
      <c r="M225">
        <v>2941.2</v>
      </c>
      <c r="N225">
        <v>5.0999999999999997E-2</v>
      </c>
      <c r="O225">
        <v>24</v>
      </c>
    </row>
    <row r="226" spans="1:15" x14ac:dyDescent="0.25">
      <c r="A226" t="s">
        <v>238</v>
      </c>
      <c r="B226" s="2">
        <v>45035</v>
      </c>
      <c r="C226" s="2">
        <v>45053</v>
      </c>
      <c r="D226" t="s">
        <v>649</v>
      </c>
      <c r="E226" t="s">
        <v>658</v>
      </c>
      <c r="F226" t="s">
        <v>674</v>
      </c>
      <c r="G226" t="s">
        <v>706</v>
      </c>
      <c r="H226" t="s">
        <v>707</v>
      </c>
      <c r="I226" t="s">
        <v>725</v>
      </c>
      <c r="J226" t="s">
        <v>731</v>
      </c>
      <c r="K226" t="s">
        <v>958</v>
      </c>
      <c r="L226">
        <v>1089.1500000000001</v>
      </c>
      <c r="M226">
        <v>1088.2</v>
      </c>
      <c r="N226">
        <v>5.0999999999999997E-2</v>
      </c>
      <c r="O226">
        <v>15</v>
      </c>
    </row>
    <row r="227" spans="1:15" x14ac:dyDescent="0.25">
      <c r="A227" t="s">
        <v>239</v>
      </c>
      <c r="B227" s="2">
        <v>45279</v>
      </c>
      <c r="C227" s="2">
        <v>45280</v>
      </c>
      <c r="D227" t="s">
        <v>648</v>
      </c>
      <c r="E227" t="s">
        <v>655</v>
      </c>
      <c r="F227" t="s">
        <v>692</v>
      </c>
      <c r="G227" t="s">
        <v>704</v>
      </c>
      <c r="H227" t="s">
        <v>710</v>
      </c>
      <c r="I227" t="s">
        <v>713</v>
      </c>
      <c r="J227" t="s">
        <v>730</v>
      </c>
      <c r="K227" t="s">
        <v>959</v>
      </c>
      <c r="L227">
        <v>1080.43</v>
      </c>
      <c r="M227">
        <v>2529.15</v>
      </c>
      <c r="N227">
        <v>0.14699999999999999</v>
      </c>
      <c r="O227">
        <v>10</v>
      </c>
    </row>
    <row r="228" spans="1:15" x14ac:dyDescent="0.25">
      <c r="A228" t="s">
        <v>240</v>
      </c>
      <c r="B228" s="2">
        <v>45137</v>
      </c>
      <c r="C228" s="2">
        <v>45145</v>
      </c>
      <c r="D228" t="s">
        <v>647</v>
      </c>
      <c r="E228" t="s">
        <v>652</v>
      </c>
      <c r="F228" t="s">
        <v>694</v>
      </c>
      <c r="G228" t="s">
        <v>702</v>
      </c>
      <c r="H228" t="s">
        <v>709</v>
      </c>
      <c r="I228" t="s">
        <v>720</v>
      </c>
      <c r="J228" t="s">
        <v>729</v>
      </c>
      <c r="K228" t="s">
        <v>960</v>
      </c>
      <c r="L228">
        <v>1352.44</v>
      </c>
      <c r="M228">
        <v>2698.01</v>
      </c>
      <c r="N228">
        <v>0.13100000000000001</v>
      </c>
      <c r="O228">
        <v>13</v>
      </c>
    </row>
    <row r="229" spans="1:15" x14ac:dyDescent="0.25">
      <c r="A229" t="s">
        <v>241</v>
      </c>
      <c r="B229" s="2">
        <v>45203</v>
      </c>
      <c r="C229" s="2">
        <v>45228</v>
      </c>
      <c r="D229" t="s">
        <v>648</v>
      </c>
      <c r="E229" t="s">
        <v>660</v>
      </c>
      <c r="F229" t="s">
        <v>686</v>
      </c>
      <c r="G229" t="s">
        <v>705</v>
      </c>
      <c r="H229" t="s">
        <v>710</v>
      </c>
      <c r="I229" t="s">
        <v>719</v>
      </c>
      <c r="J229" t="s">
        <v>733</v>
      </c>
      <c r="K229" t="s">
        <v>961</v>
      </c>
      <c r="L229">
        <v>1239.8399999999999</v>
      </c>
      <c r="M229">
        <v>1482.75</v>
      </c>
      <c r="N229">
        <v>6.7000000000000004E-2</v>
      </c>
      <c r="O229">
        <v>4</v>
      </c>
    </row>
    <row r="230" spans="1:15" x14ac:dyDescent="0.25">
      <c r="A230" t="s">
        <v>242</v>
      </c>
      <c r="B230" s="2">
        <v>45879</v>
      </c>
      <c r="C230" s="2">
        <v>45899</v>
      </c>
      <c r="D230" t="s">
        <v>648</v>
      </c>
      <c r="E230" t="s">
        <v>660</v>
      </c>
      <c r="F230" t="s">
        <v>686</v>
      </c>
      <c r="G230" t="s">
        <v>701</v>
      </c>
      <c r="H230" t="s">
        <v>709</v>
      </c>
      <c r="I230" t="s">
        <v>723</v>
      </c>
      <c r="J230" t="s">
        <v>728</v>
      </c>
      <c r="K230" t="s">
        <v>962</v>
      </c>
      <c r="L230">
        <v>933.29</v>
      </c>
      <c r="M230">
        <v>1456.81</v>
      </c>
      <c r="N230">
        <v>0.123</v>
      </c>
      <c r="O230">
        <v>13</v>
      </c>
    </row>
    <row r="231" spans="1:15" x14ac:dyDescent="0.25">
      <c r="A231" t="s">
        <v>243</v>
      </c>
      <c r="B231" s="2">
        <v>44992</v>
      </c>
      <c r="C231" s="2">
        <v>45017</v>
      </c>
      <c r="D231" t="s">
        <v>646</v>
      </c>
      <c r="E231" t="s">
        <v>650</v>
      </c>
      <c r="F231" t="s">
        <v>664</v>
      </c>
      <c r="G231" t="s">
        <v>704</v>
      </c>
      <c r="H231" t="s">
        <v>709</v>
      </c>
      <c r="I231" t="s">
        <v>726</v>
      </c>
      <c r="J231" t="s">
        <v>728</v>
      </c>
      <c r="K231" t="s">
        <v>963</v>
      </c>
      <c r="L231">
        <v>1024.0999999999999</v>
      </c>
      <c r="M231">
        <v>918.19</v>
      </c>
      <c r="N231">
        <v>0.189</v>
      </c>
      <c r="O231">
        <v>10</v>
      </c>
    </row>
    <row r="232" spans="1:15" x14ac:dyDescent="0.25">
      <c r="A232" t="s">
        <v>244</v>
      </c>
      <c r="B232" s="2">
        <v>45069</v>
      </c>
      <c r="C232" s="2">
        <v>45087</v>
      </c>
      <c r="D232" t="s">
        <v>647</v>
      </c>
      <c r="E232" t="s">
        <v>659</v>
      </c>
      <c r="F232" t="s">
        <v>685</v>
      </c>
      <c r="G232" t="s">
        <v>701</v>
      </c>
      <c r="H232" t="s">
        <v>710</v>
      </c>
      <c r="I232" t="s">
        <v>718</v>
      </c>
      <c r="J232" t="s">
        <v>727</v>
      </c>
      <c r="K232" t="s">
        <v>964</v>
      </c>
      <c r="L232">
        <v>54.62</v>
      </c>
      <c r="M232">
        <v>48.94</v>
      </c>
      <c r="N232">
        <v>0.14799999999999999</v>
      </c>
      <c r="O232">
        <v>16</v>
      </c>
    </row>
    <row r="233" spans="1:15" x14ac:dyDescent="0.25">
      <c r="A233" t="s">
        <v>245</v>
      </c>
      <c r="B233" s="2">
        <v>45771</v>
      </c>
      <c r="C233" s="2">
        <v>45783</v>
      </c>
      <c r="D233" t="s">
        <v>648</v>
      </c>
      <c r="E233" t="s">
        <v>655</v>
      </c>
      <c r="F233" t="s">
        <v>672</v>
      </c>
      <c r="G233" t="s">
        <v>704</v>
      </c>
      <c r="H233" t="s">
        <v>708</v>
      </c>
      <c r="I233" t="s">
        <v>712</v>
      </c>
      <c r="J233" t="s">
        <v>730</v>
      </c>
      <c r="K233" t="s">
        <v>965</v>
      </c>
      <c r="L233">
        <v>394.13</v>
      </c>
      <c r="M233">
        <v>932.29</v>
      </c>
      <c r="N233">
        <v>0.109</v>
      </c>
      <c r="O233">
        <v>7</v>
      </c>
    </row>
    <row r="234" spans="1:15" x14ac:dyDescent="0.25">
      <c r="A234" t="s">
        <v>246</v>
      </c>
      <c r="B234" s="2">
        <v>45538</v>
      </c>
      <c r="C234" s="2">
        <v>45543</v>
      </c>
      <c r="D234" t="s">
        <v>646</v>
      </c>
      <c r="E234" t="s">
        <v>651</v>
      </c>
      <c r="F234" t="s">
        <v>665</v>
      </c>
      <c r="G234" t="s">
        <v>705</v>
      </c>
      <c r="H234" t="s">
        <v>711</v>
      </c>
      <c r="I234" t="s">
        <v>723</v>
      </c>
      <c r="J234" t="s">
        <v>728</v>
      </c>
      <c r="K234" t="s">
        <v>966</v>
      </c>
      <c r="L234">
        <v>197.63</v>
      </c>
      <c r="M234">
        <v>325.79000000000002</v>
      </c>
      <c r="N234">
        <v>0.11600000000000001</v>
      </c>
      <c r="O234">
        <v>10</v>
      </c>
    </row>
    <row r="235" spans="1:15" x14ac:dyDescent="0.25">
      <c r="A235" t="s">
        <v>247</v>
      </c>
      <c r="B235" s="2">
        <v>45540</v>
      </c>
      <c r="C235" s="2">
        <v>45560</v>
      </c>
      <c r="D235" t="s">
        <v>647</v>
      </c>
      <c r="E235" t="s">
        <v>652</v>
      </c>
      <c r="F235" t="s">
        <v>666</v>
      </c>
      <c r="G235" t="s">
        <v>706</v>
      </c>
      <c r="H235" t="s">
        <v>710</v>
      </c>
      <c r="I235" t="s">
        <v>726</v>
      </c>
      <c r="J235" t="s">
        <v>732</v>
      </c>
      <c r="K235" t="s">
        <v>967</v>
      </c>
      <c r="L235">
        <v>195.54</v>
      </c>
      <c r="M235">
        <v>405.97</v>
      </c>
      <c r="N235">
        <v>0.187</v>
      </c>
      <c r="O235">
        <v>16</v>
      </c>
    </row>
    <row r="236" spans="1:15" x14ac:dyDescent="0.25">
      <c r="A236" t="s">
        <v>248</v>
      </c>
      <c r="B236" s="2">
        <v>44999</v>
      </c>
      <c r="C236" s="2">
        <v>45015</v>
      </c>
      <c r="D236" t="s">
        <v>646</v>
      </c>
      <c r="E236" t="s">
        <v>661</v>
      </c>
      <c r="F236" t="s">
        <v>695</v>
      </c>
      <c r="G236" t="s">
        <v>704</v>
      </c>
      <c r="H236" t="s">
        <v>710</v>
      </c>
      <c r="I236" t="s">
        <v>723</v>
      </c>
      <c r="J236" t="s">
        <v>727</v>
      </c>
      <c r="K236" t="s">
        <v>968</v>
      </c>
      <c r="L236">
        <v>1309.77</v>
      </c>
      <c r="M236">
        <v>1589.07</v>
      </c>
      <c r="N236">
        <v>0.10199999999999999</v>
      </c>
      <c r="O236">
        <v>10</v>
      </c>
    </row>
    <row r="237" spans="1:15" x14ac:dyDescent="0.25">
      <c r="A237" t="s">
        <v>249</v>
      </c>
      <c r="B237" s="2">
        <v>45302</v>
      </c>
      <c r="C237" s="2">
        <v>45324</v>
      </c>
      <c r="D237" t="s">
        <v>647</v>
      </c>
      <c r="E237" t="s">
        <v>652</v>
      </c>
      <c r="F237" t="s">
        <v>694</v>
      </c>
      <c r="G237" t="s">
        <v>705</v>
      </c>
      <c r="H237" t="s">
        <v>708</v>
      </c>
      <c r="J237" t="s">
        <v>728</v>
      </c>
      <c r="K237" t="s">
        <v>969</v>
      </c>
      <c r="L237">
        <v>1237.68</v>
      </c>
      <c r="M237">
        <v>1432.8</v>
      </c>
      <c r="N237">
        <v>6.8000000000000005E-2</v>
      </c>
      <c r="O237">
        <v>13</v>
      </c>
    </row>
    <row r="238" spans="1:15" x14ac:dyDescent="0.25">
      <c r="A238" t="s">
        <v>250</v>
      </c>
      <c r="B238" s="2">
        <v>45548</v>
      </c>
      <c r="C238" s="2">
        <v>45567</v>
      </c>
      <c r="D238" t="s">
        <v>646</v>
      </c>
      <c r="E238" t="s">
        <v>650</v>
      </c>
      <c r="F238" t="s">
        <v>675</v>
      </c>
      <c r="G238" t="s">
        <v>705</v>
      </c>
      <c r="H238" t="s">
        <v>707</v>
      </c>
      <c r="I238" t="s">
        <v>724</v>
      </c>
      <c r="J238" t="s">
        <v>730</v>
      </c>
      <c r="K238" t="s">
        <v>970</v>
      </c>
      <c r="L238">
        <v>1338.99</v>
      </c>
      <c r="M238">
        <v>1765.76</v>
      </c>
      <c r="N238">
        <v>0.126</v>
      </c>
      <c r="O238">
        <v>24</v>
      </c>
    </row>
    <row r="239" spans="1:15" x14ac:dyDescent="0.25">
      <c r="A239" t="s">
        <v>251</v>
      </c>
      <c r="B239" s="2">
        <v>45855</v>
      </c>
      <c r="C239" s="2">
        <v>45861</v>
      </c>
      <c r="D239" t="s">
        <v>648</v>
      </c>
      <c r="E239" t="s">
        <v>653</v>
      </c>
      <c r="F239" t="s">
        <v>688</v>
      </c>
      <c r="G239" t="s">
        <v>704</v>
      </c>
      <c r="H239" t="s">
        <v>708</v>
      </c>
      <c r="I239" t="s">
        <v>722</v>
      </c>
      <c r="J239" t="s">
        <v>727</v>
      </c>
      <c r="K239" t="s">
        <v>971</v>
      </c>
      <c r="L239">
        <v>1364.89</v>
      </c>
      <c r="M239">
        <v>2757.54</v>
      </c>
      <c r="N239">
        <v>0.17199999999999999</v>
      </c>
      <c r="O239">
        <v>61</v>
      </c>
    </row>
    <row r="240" spans="1:15" x14ac:dyDescent="0.25">
      <c r="A240" t="s">
        <v>252</v>
      </c>
      <c r="B240" s="2">
        <v>45258</v>
      </c>
      <c r="C240" s="2">
        <v>45267</v>
      </c>
      <c r="D240" t="s">
        <v>647</v>
      </c>
      <c r="E240" t="s">
        <v>654</v>
      </c>
      <c r="F240" t="s">
        <v>680</v>
      </c>
      <c r="G240" t="s">
        <v>706</v>
      </c>
      <c r="H240" t="s">
        <v>709</v>
      </c>
      <c r="I240" t="s">
        <v>716</v>
      </c>
      <c r="J240" t="s">
        <v>730</v>
      </c>
      <c r="K240" t="s">
        <v>972</v>
      </c>
      <c r="L240">
        <v>699.33</v>
      </c>
      <c r="M240">
        <v>873.75</v>
      </c>
      <c r="N240">
        <v>0.23499999999999999</v>
      </c>
      <c r="O240">
        <v>10</v>
      </c>
    </row>
    <row r="241" spans="1:15" x14ac:dyDescent="0.25">
      <c r="A241" t="s">
        <v>253</v>
      </c>
      <c r="B241" s="2">
        <v>45381</v>
      </c>
      <c r="C241" s="2">
        <v>45406</v>
      </c>
      <c r="D241" t="s">
        <v>648</v>
      </c>
      <c r="E241" t="s">
        <v>660</v>
      </c>
      <c r="F241" t="s">
        <v>697</v>
      </c>
      <c r="G241" t="s">
        <v>703</v>
      </c>
      <c r="H241" t="s">
        <v>708</v>
      </c>
      <c r="I241" t="s">
        <v>715</v>
      </c>
      <c r="J241" t="s">
        <v>731</v>
      </c>
      <c r="K241" t="s">
        <v>973</v>
      </c>
      <c r="L241">
        <v>160.82</v>
      </c>
      <c r="M241">
        <v>258.52</v>
      </c>
      <c r="N241">
        <v>0.13</v>
      </c>
      <c r="O241">
        <v>17</v>
      </c>
    </row>
    <row r="242" spans="1:15" x14ac:dyDescent="0.25">
      <c r="A242" t="s">
        <v>254</v>
      </c>
      <c r="B242" s="2">
        <v>45188</v>
      </c>
      <c r="C242" s="2">
        <v>45207</v>
      </c>
      <c r="D242" t="s">
        <v>647</v>
      </c>
      <c r="E242" t="s">
        <v>654</v>
      </c>
      <c r="F242" t="s">
        <v>668</v>
      </c>
      <c r="G242" t="s">
        <v>702</v>
      </c>
      <c r="H242" t="s">
        <v>711</v>
      </c>
      <c r="I242" t="s">
        <v>713</v>
      </c>
      <c r="J242" t="s">
        <v>728</v>
      </c>
      <c r="K242" t="s">
        <v>974</v>
      </c>
      <c r="L242">
        <v>385.32</v>
      </c>
      <c r="M242">
        <v>606.76</v>
      </c>
      <c r="N242">
        <v>8.5999999999999993E-2</v>
      </c>
      <c r="O242">
        <v>8</v>
      </c>
    </row>
    <row r="243" spans="1:15" x14ac:dyDescent="0.25">
      <c r="A243" t="s">
        <v>255</v>
      </c>
      <c r="B243" s="2">
        <v>45793</v>
      </c>
      <c r="C243" s="2">
        <v>45804</v>
      </c>
      <c r="D243" t="s">
        <v>647</v>
      </c>
      <c r="E243" t="s">
        <v>659</v>
      </c>
      <c r="F243" t="s">
        <v>699</v>
      </c>
      <c r="G243" t="s">
        <v>706</v>
      </c>
      <c r="H243" t="s">
        <v>708</v>
      </c>
      <c r="I243" t="s">
        <v>721</v>
      </c>
      <c r="J243" t="s">
        <v>730</v>
      </c>
      <c r="K243" t="s">
        <v>975</v>
      </c>
      <c r="L243">
        <v>918.12</v>
      </c>
      <c r="M243">
        <v>1337.69</v>
      </c>
      <c r="N243">
        <v>9.5000000000000001E-2</v>
      </c>
      <c r="O243">
        <v>8</v>
      </c>
    </row>
    <row r="244" spans="1:15" x14ac:dyDescent="0.25">
      <c r="A244" t="s">
        <v>256</v>
      </c>
      <c r="B244" s="2">
        <v>45871</v>
      </c>
      <c r="C244" s="2">
        <v>45877</v>
      </c>
      <c r="D244" t="s">
        <v>647</v>
      </c>
      <c r="E244" t="s">
        <v>652</v>
      </c>
      <c r="F244" t="s">
        <v>666</v>
      </c>
      <c r="G244" t="s">
        <v>704</v>
      </c>
      <c r="H244" t="s">
        <v>711</v>
      </c>
      <c r="I244" t="s">
        <v>725</v>
      </c>
      <c r="J244" t="s">
        <v>731</v>
      </c>
      <c r="K244" t="s">
        <v>976</v>
      </c>
      <c r="L244">
        <v>1225.94</v>
      </c>
      <c r="M244">
        <v>1793.08</v>
      </c>
      <c r="N244">
        <v>0.13600000000000001</v>
      </c>
      <c r="O244">
        <v>22</v>
      </c>
    </row>
    <row r="245" spans="1:15" x14ac:dyDescent="0.25">
      <c r="A245" t="s">
        <v>257</v>
      </c>
      <c r="B245" s="2">
        <v>45630</v>
      </c>
      <c r="C245" s="2">
        <v>45638</v>
      </c>
      <c r="D245" t="s">
        <v>649</v>
      </c>
      <c r="E245" t="s">
        <v>656</v>
      </c>
      <c r="F245" t="s">
        <v>698</v>
      </c>
      <c r="G245" t="s">
        <v>706</v>
      </c>
      <c r="H245" t="s">
        <v>709</v>
      </c>
      <c r="I245" t="s">
        <v>717</v>
      </c>
      <c r="J245" t="s">
        <v>728</v>
      </c>
      <c r="K245" t="s">
        <v>977</v>
      </c>
      <c r="L245">
        <v>72.06</v>
      </c>
      <c r="M245">
        <v>122.74</v>
      </c>
      <c r="N245">
        <v>0.23799999999999999</v>
      </c>
      <c r="O245">
        <v>8</v>
      </c>
    </row>
    <row r="246" spans="1:15" x14ac:dyDescent="0.25">
      <c r="A246" t="s">
        <v>258</v>
      </c>
      <c r="B246" s="2">
        <v>45035</v>
      </c>
      <c r="C246" s="2">
        <v>45044</v>
      </c>
      <c r="D246" t="s">
        <v>648</v>
      </c>
      <c r="E246" t="s">
        <v>655</v>
      </c>
      <c r="F246" t="s">
        <v>692</v>
      </c>
      <c r="G246" t="s">
        <v>701</v>
      </c>
      <c r="H246" t="s">
        <v>710</v>
      </c>
      <c r="I246" t="s">
        <v>724</v>
      </c>
      <c r="J246" t="s">
        <v>730</v>
      </c>
      <c r="K246" t="s">
        <v>978</v>
      </c>
      <c r="L246">
        <v>1013.54</v>
      </c>
      <c r="M246">
        <v>927.93</v>
      </c>
      <c r="N246">
        <v>0.17499999999999999</v>
      </c>
      <c r="O246">
        <v>16</v>
      </c>
    </row>
    <row r="247" spans="1:15" x14ac:dyDescent="0.25">
      <c r="A247" t="s">
        <v>259</v>
      </c>
      <c r="B247" s="2">
        <v>45357</v>
      </c>
      <c r="C247" s="2">
        <v>45377</v>
      </c>
      <c r="D247" t="s">
        <v>646</v>
      </c>
      <c r="E247" t="s">
        <v>651</v>
      </c>
      <c r="F247" t="s">
        <v>663</v>
      </c>
      <c r="G247" t="s">
        <v>704</v>
      </c>
      <c r="H247" t="s">
        <v>709</v>
      </c>
      <c r="I247" t="s">
        <v>714</v>
      </c>
      <c r="J247" t="s">
        <v>730</v>
      </c>
      <c r="K247" t="s">
        <v>979</v>
      </c>
      <c r="L247">
        <v>65.64</v>
      </c>
      <c r="M247">
        <v>151.88</v>
      </c>
      <c r="N247">
        <v>0.16700000000000001</v>
      </c>
      <c r="O247">
        <v>23</v>
      </c>
    </row>
    <row r="248" spans="1:15" x14ac:dyDescent="0.25">
      <c r="A248" t="s">
        <v>260</v>
      </c>
      <c r="B248" s="2">
        <v>45338</v>
      </c>
      <c r="C248" s="2">
        <v>45355</v>
      </c>
      <c r="D248" t="s">
        <v>648</v>
      </c>
      <c r="E248" t="s">
        <v>653</v>
      </c>
      <c r="F248" t="s">
        <v>681</v>
      </c>
      <c r="G248" t="s">
        <v>703</v>
      </c>
      <c r="H248" t="s">
        <v>707</v>
      </c>
      <c r="I248" t="s">
        <v>726</v>
      </c>
      <c r="J248" t="s">
        <v>731</v>
      </c>
      <c r="K248" t="s">
        <v>980</v>
      </c>
      <c r="L248">
        <v>1350.98</v>
      </c>
      <c r="M248">
        <v>2210.4</v>
      </c>
      <c r="N248">
        <v>0.26300000000000001</v>
      </c>
      <c r="O248">
        <v>6</v>
      </c>
    </row>
    <row r="249" spans="1:15" x14ac:dyDescent="0.25">
      <c r="A249" t="s">
        <v>261</v>
      </c>
      <c r="B249" s="2">
        <v>45769</v>
      </c>
      <c r="C249" s="2">
        <v>45779</v>
      </c>
      <c r="D249" t="s">
        <v>649</v>
      </c>
      <c r="E249" t="s">
        <v>656</v>
      </c>
      <c r="F249" t="s">
        <v>671</v>
      </c>
      <c r="G249" t="s">
        <v>701</v>
      </c>
      <c r="H249" t="s">
        <v>709</v>
      </c>
      <c r="I249" t="s">
        <v>712</v>
      </c>
      <c r="J249" t="s">
        <v>732</v>
      </c>
      <c r="K249" t="s">
        <v>981</v>
      </c>
      <c r="L249">
        <v>20.149999999999999</v>
      </c>
      <c r="M249">
        <v>39.74</v>
      </c>
      <c r="N249">
        <v>0.151</v>
      </c>
      <c r="O249">
        <v>18</v>
      </c>
    </row>
    <row r="250" spans="1:15" x14ac:dyDescent="0.25">
      <c r="A250" t="s">
        <v>262</v>
      </c>
      <c r="B250" s="2">
        <v>45604</v>
      </c>
      <c r="C250" s="2">
        <v>45604</v>
      </c>
      <c r="D250" t="s">
        <v>646</v>
      </c>
      <c r="E250" t="s">
        <v>650</v>
      </c>
      <c r="F250" t="s">
        <v>678</v>
      </c>
      <c r="G250" t="s">
        <v>706</v>
      </c>
      <c r="H250" t="s">
        <v>709</v>
      </c>
      <c r="I250" t="s">
        <v>724</v>
      </c>
      <c r="J250" t="s">
        <v>729</v>
      </c>
      <c r="K250" t="s">
        <v>982</v>
      </c>
      <c r="L250">
        <v>803.28</v>
      </c>
      <c r="M250">
        <v>1009</v>
      </c>
      <c r="N250">
        <v>0.11</v>
      </c>
      <c r="O250">
        <v>4</v>
      </c>
    </row>
    <row r="251" spans="1:15" x14ac:dyDescent="0.25">
      <c r="A251" t="s">
        <v>263</v>
      </c>
      <c r="B251" s="2">
        <v>45912</v>
      </c>
      <c r="C251" s="2">
        <v>45930</v>
      </c>
      <c r="D251" t="s">
        <v>647</v>
      </c>
      <c r="E251" t="s">
        <v>652</v>
      </c>
      <c r="F251" t="s">
        <v>694</v>
      </c>
      <c r="G251" t="s">
        <v>703</v>
      </c>
      <c r="H251" t="s">
        <v>709</v>
      </c>
      <c r="I251" t="s">
        <v>721</v>
      </c>
      <c r="J251" t="s">
        <v>732</v>
      </c>
      <c r="K251" t="s">
        <v>983</v>
      </c>
      <c r="L251">
        <v>1212.99</v>
      </c>
      <c r="M251">
        <v>1653.64</v>
      </c>
      <c r="N251">
        <v>0.107</v>
      </c>
      <c r="O251">
        <v>8</v>
      </c>
    </row>
    <row r="252" spans="1:15" x14ac:dyDescent="0.25">
      <c r="A252" t="s">
        <v>264</v>
      </c>
      <c r="B252" s="2">
        <v>45537</v>
      </c>
      <c r="C252" s="2">
        <v>45543</v>
      </c>
      <c r="D252" t="s">
        <v>648</v>
      </c>
      <c r="E252" t="s">
        <v>660</v>
      </c>
      <c r="F252" t="s">
        <v>697</v>
      </c>
      <c r="G252" t="s">
        <v>704</v>
      </c>
      <c r="H252" t="s">
        <v>711</v>
      </c>
      <c r="I252" t="s">
        <v>722</v>
      </c>
      <c r="J252" t="s">
        <v>727</v>
      </c>
      <c r="K252" t="s">
        <v>984</v>
      </c>
      <c r="L252">
        <v>462.94</v>
      </c>
      <c r="M252">
        <v>1015.7</v>
      </c>
      <c r="N252">
        <v>0.14299999999999999</v>
      </c>
      <c r="O252">
        <v>14</v>
      </c>
    </row>
    <row r="253" spans="1:15" x14ac:dyDescent="0.25">
      <c r="A253" t="s">
        <v>265</v>
      </c>
      <c r="B253" s="2">
        <v>44989</v>
      </c>
      <c r="C253" s="2">
        <v>45009</v>
      </c>
      <c r="D253" t="s">
        <v>648</v>
      </c>
      <c r="E253" t="s">
        <v>653</v>
      </c>
      <c r="F253" t="s">
        <v>681</v>
      </c>
      <c r="G253" t="s">
        <v>704</v>
      </c>
      <c r="H253" t="s">
        <v>710</v>
      </c>
      <c r="I253" t="s">
        <v>714</v>
      </c>
      <c r="J253" t="s">
        <v>731</v>
      </c>
      <c r="K253" t="s">
        <v>985</v>
      </c>
      <c r="L253">
        <v>481.71</v>
      </c>
      <c r="M253">
        <v>912.45</v>
      </c>
      <c r="N253">
        <v>0.20300000000000001</v>
      </c>
      <c r="O253">
        <v>24</v>
      </c>
    </row>
    <row r="254" spans="1:15" x14ac:dyDescent="0.25">
      <c r="A254" t="s">
        <v>266</v>
      </c>
      <c r="B254" s="2">
        <v>45366</v>
      </c>
      <c r="C254" s="2">
        <v>45391</v>
      </c>
      <c r="D254" t="s">
        <v>648</v>
      </c>
      <c r="E254" t="s">
        <v>653</v>
      </c>
      <c r="F254" t="s">
        <v>688</v>
      </c>
      <c r="G254" t="s">
        <v>704</v>
      </c>
      <c r="H254" t="s">
        <v>708</v>
      </c>
      <c r="I254" t="s">
        <v>721</v>
      </c>
      <c r="J254" t="s">
        <v>732</v>
      </c>
      <c r="K254" t="s">
        <v>986</v>
      </c>
      <c r="L254">
        <v>648.64</v>
      </c>
      <c r="M254">
        <v>815.19</v>
      </c>
      <c r="N254">
        <v>0.22500000000000001</v>
      </c>
      <c r="O254">
        <v>28</v>
      </c>
    </row>
    <row r="255" spans="1:15" x14ac:dyDescent="0.25">
      <c r="A255" t="s">
        <v>267</v>
      </c>
      <c r="B255" s="2">
        <v>45502</v>
      </c>
      <c r="C255" s="2">
        <v>45504</v>
      </c>
      <c r="D255" t="s">
        <v>648</v>
      </c>
      <c r="E255" t="s">
        <v>660</v>
      </c>
      <c r="F255" t="s">
        <v>700</v>
      </c>
      <c r="G255" t="s">
        <v>702</v>
      </c>
      <c r="H255" t="s">
        <v>709</v>
      </c>
      <c r="I255" t="s">
        <v>714</v>
      </c>
      <c r="J255" t="s">
        <v>728</v>
      </c>
      <c r="K255" t="s">
        <v>987</v>
      </c>
      <c r="L255">
        <v>798.97</v>
      </c>
      <c r="M255">
        <v>1814.06</v>
      </c>
      <c r="N255">
        <v>0.122</v>
      </c>
      <c r="O255">
        <v>16</v>
      </c>
    </row>
    <row r="256" spans="1:15" x14ac:dyDescent="0.25">
      <c r="A256" t="s">
        <v>268</v>
      </c>
      <c r="B256" s="2">
        <v>45592</v>
      </c>
      <c r="C256" s="2">
        <v>45616</v>
      </c>
      <c r="D256" t="s">
        <v>647</v>
      </c>
      <c r="E256" t="s">
        <v>652</v>
      </c>
      <c r="F256" t="s">
        <v>694</v>
      </c>
      <c r="G256" t="s">
        <v>703</v>
      </c>
      <c r="H256" t="s">
        <v>708</v>
      </c>
      <c r="I256" t="s">
        <v>722</v>
      </c>
      <c r="J256" t="s">
        <v>732</v>
      </c>
      <c r="K256" t="s">
        <v>988</v>
      </c>
      <c r="L256">
        <v>317.25</v>
      </c>
      <c r="M256">
        <v>758.92</v>
      </c>
      <c r="N256">
        <v>5.2999999999999999E-2</v>
      </c>
      <c r="O256">
        <v>9</v>
      </c>
    </row>
    <row r="257" spans="1:15" x14ac:dyDescent="0.25">
      <c r="A257" t="s">
        <v>269</v>
      </c>
      <c r="B257" s="2">
        <v>45411</v>
      </c>
      <c r="C257" s="2">
        <v>45431</v>
      </c>
      <c r="D257" t="s">
        <v>649</v>
      </c>
      <c r="E257" t="s">
        <v>656</v>
      </c>
      <c r="F257" t="s">
        <v>698</v>
      </c>
      <c r="G257" t="s">
        <v>706</v>
      </c>
      <c r="H257" t="s">
        <v>709</v>
      </c>
      <c r="I257" t="s">
        <v>712</v>
      </c>
      <c r="J257" t="s">
        <v>731</v>
      </c>
      <c r="K257" t="s">
        <v>989</v>
      </c>
      <c r="L257">
        <v>668.97</v>
      </c>
      <c r="M257">
        <v>1667.44</v>
      </c>
      <c r="N257">
        <v>3.4000000000000002E-2</v>
      </c>
      <c r="O257">
        <v>15</v>
      </c>
    </row>
    <row r="258" spans="1:15" x14ac:dyDescent="0.25">
      <c r="A258" t="s">
        <v>270</v>
      </c>
      <c r="B258" s="2">
        <v>45204</v>
      </c>
      <c r="C258" s="2">
        <v>45205</v>
      </c>
      <c r="D258" t="s">
        <v>647</v>
      </c>
      <c r="E258" t="s">
        <v>654</v>
      </c>
      <c r="F258" t="s">
        <v>668</v>
      </c>
      <c r="G258" t="s">
        <v>703</v>
      </c>
      <c r="H258" t="s">
        <v>708</v>
      </c>
      <c r="I258" t="s">
        <v>714</v>
      </c>
      <c r="J258" t="s">
        <v>727</v>
      </c>
      <c r="K258" t="s">
        <v>990</v>
      </c>
      <c r="L258">
        <v>1470.26</v>
      </c>
      <c r="M258">
        <v>2562.5500000000002</v>
      </c>
      <c r="N258">
        <v>0.17299999999999999</v>
      </c>
      <c r="O258">
        <v>9</v>
      </c>
    </row>
    <row r="259" spans="1:15" x14ac:dyDescent="0.25">
      <c r="A259" t="s">
        <v>271</v>
      </c>
      <c r="B259" s="2">
        <v>45035</v>
      </c>
      <c r="C259" s="2">
        <v>45053</v>
      </c>
      <c r="D259" t="s">
        <v>649</v>
      </c>
      <c r="E259" t="s">
        <v>658</v>
      </c>
      <c r="F259" t="s">
        <v>683</v>
      </c>
      <c r="G259" t="s">
        <v>703</v>
      </c>
      <c r="H259" t="s">
        <v>711</v>
      </c>
      <c r="I259" t="s">
        <v>722</v>
      </c>
      <c r="J259" t="s">
        <v>729</v>
      </c>
      <c r="K259" t="s">
        <v>991</v>
      </c>
      <c r="L259">
        <v>516.96</v>
      </c>
      <c r="M259">
        <v>745.38</v>
      </c>
      <c r="N259">
        <v>0.19700000000000001</v>
      </c>
      <c r="O259">
        <v>4</v>
      </c>
    </row>
    <row r="260" spans="1:15" x14ac:dyDescent="0.25">
      <c r="A260" t="s">
        <v>272</v>
      </c>
      <c r="B260" s="2">
        <v>45835</v>
      </c>
      <c r="C260" s="2">
        <v>45843</v>
      </c>
      <c r="D260" t="s">
        <v>649</v>
      </c>
      <c r="E260" t="s">
        <v>656</v>
      </c>
      <c r="F260" t="s">
        <v>684</v>
      </c>
      <c r="G260" t="s">
        <v>705</v>
      </c>
      <c r="H260" t="s">
        <v>711</v>
      </c>
      <c r="I260" t="s">
        <v>715</v>
      </c>
      <c r="J260" t="s">
        <v>732</v>
      </c>
      <c r="K260" t="s">
        <v>992</v>
      </c>
      <c r="L260">
        <v>314.93</v>
      </c>
      <c r="M260">
        <v>687.95</v>
      </c>
      <c r="N260">
        <v>0.20499999999999999</v>
      </c>
      <c r="O260">
        <v>8</v>
      </c>
    </row>
    <row r="261" spans="1:15" x14ac:dyDescent="0.25">
      <c r="A261" t="s">
        <v>273</v>
      </c>
      <c r="B261" s="2">
        <v>45210</v>
      </c>
      <c r="C261" s="2">
        <v>45212</v>
      </c>
      <c r="D261" t="s">
        <v>648</v>
      </c>
      <c r="E261" t="s">
        <v>655</v>
      </c>
      <c r="F261" t="s">
        <v>672</v>
      </c>
      <c r="G261" t="s">
        <v>704</v>
      </c>
      <c r="H261" t="s">
        <v>710</v>
      </c>
      <c r="J261" t="s">
        <v>733</v>
      </c>
      <c r="K261" t="s">
        <v>993</v>
      </c>
      <c r="L261">
        <v>715.94</v>
      </c>
      <c r="M261">
        <v>550.07000000000005</v>
      </c>
      <c r="N261">
        <v>0.14000000000000001</v>
      </c>
      <c r="O261">
        <v>16</v>
      </c>
    </row>
    <row r="262" spans="1:15" x14ac:dyDescent="0.25">
      <c r="A262" t="s">
        <v>274</v>
      </c>
      <c r="B262" s="2">
        <v>45066</v>
      </c>
      <c r="C262" s="2">
        <v>45084</v>
      </c>
      <c r="D262" t="s">
        <v>646</v>
      </c>
      <c r="E262" t="s">
        <v>651</v>
      </c>
      <c r="F262" t="s">
        <v>663</v>
      </c>
      <c r="G262" t="s">
        <v>706</v>
      </c>
      <c r="H262" t="s">
        <v>710</v>
      </c>
      <c r="I262" t="s">
        <v>718</v>
      </c>
      <c r="J262" t="s">
        <v>727</v>
      </c>
      <c r="K262" t="s">
        <v>994</v>
      </c>
      <c r="L262">
        <v>1120.06</v>
      </c>
      <c r="M262">
        <v>2068.21</v>
      </c>
      <c r="N262">
        <v>7.8E-2</v>
      </c>
      <c r="O262">
        <v>12</v>
      </c>
    </row>
    <row r="263" spans="1:15" x14ac:dyDescent="0.25">
      <c r="A263" t="s">
        <v>275</v>
      </c>
      <c r="B263" s="2">
        <v>45073</v>
      </c>
      <c r="C263" s="2">
        <v>45096</v>
      </c>
      <c r="D263" t="s">
        <v>649</v>
      </c>
      <c r="E263" t="s">
        <v>656</v>
      </c>
      <c r="F263" t="s">
        <v>671</v>
      </c>
      <c r="G263" t="s">
        <v>702</v>
      </c>
      <c r="H263" t="s">
        <v>707</v>
      </c>
      <c r="I263" t="s">
        <v>719</v>
      </c>
      <c r="J263" t="s">
        <v>733</v>
      </c>
      <c r="K263" t="s">
        <v>995</v>
      </c>
      <c r="L263">
        <v>1471.58</v>
      </c>
      <c r="M263">
        <v>2576.65</v>
      </c>
      <c r="N263">
        <v>4.0000000000000001E-3</v>
      </c>
      <c r="O263">
        <v>7</v>
      </c>
    </row>
    <row r="264" spans="1:15" x14ac:dyDescent="0.25">
      <c r="A264" t="s">
        <v>276</v>
      </c>
      <c r="B264" s="2">
        <v>45142</v>
      </c>
      <c r="C264" s="2">
        <v>45162</v>
      </c>
      <c r="D264" t="s">
        <v>648</v>
      </c>
      <c r="E264" t="s">
        <v>655</v>
      </c>
      <c r="F264" t="s">
        <v>672</v>
      </c>
      <c r="G264" t="s">
        <v>703</v>
      </c>
      <c r="H264" t="s">
        <v>711</v>
      </c>
      <c r="J264" t="s">
        <v>729</v>
      </c>
      <c r="K264" t="s">
        <v>996</v>
      </c>
      <c r="L264">
        <v>582.88</v>
      </c>
      <c r="M264">
        <v>1044.1400000000001</v>
      </c>
      <c r="N264">
        <v>0.216</v>
      </c>
      <c r="O264">
        <v>10</v>
      </c>
    </row>
    <row r="265" spans="1:15" x14ac:dyDescent="0.25">
      <c r="A265" t="s">
        <v>277</v>
      </c>
      <c r="B265" s="2">
        <v>45829</v>
      </c>
      <c r="C265" s="2">
        <v>45835</v>
      </c>
      <c r="D265" t="s">
        <v>646</v>
      </c>
      <c r="E265" t="s">
        <v>661</v>
      </c>
      <c r="F265" t="s">
        <v>687</v>
      </c>
      <c r="G265" t="s">
        <v>706</v>
      </c>
      <c r="H265" t="s">
        <v>710</v>
      </c>
      <c r="I265" t="s">
        <v>725</v>
      </c>
      <c r="J265" t="s">
        <v>730</v>
      </c>
      <c r="K265" t="s">
        <v>997</v>
      </c>
      <c r="L265">
        <v>93.91</v>
      </c>
      <c r="M265">
        <v>99.04</v>
      </c>
      <c r="N265">
        <v>5.7000000000000002E-2</v>
      </c>
      <c r="O265">
        <v>6</v>
      </c>
    </row>
    <row r="266" spans="1:15" x14ac:dyDescent="0.25">
      <c r="A266" t="s">
        <v>278</v>
      </c>
      <c r="B266" s="2">
        <v>45763</v>
      </c>
      <c r="C266" s="2">
        <v>45773</v>
      </c>
      <c r="D266" t="s">
        <v>646</v>
      </c>
      <c r="E266" t="s">
        <v>651</v>
      </c>
      <c r="F266" t="s">
        <v>663</v>
      </c>
      <c r="G266" t="s">
        <v>706</v>
      </c>
      <c r="H266" t="s">
        <v>709</v>
      </c>
      <c r="I266" t="s">
        <v>721</v>
      </c>
      <c r="J266" t="s">
        <v>731</v>
      </c>
      <c r="K266" t="s">
        <v>998</v>
      </c>
      <c r="L266">
        <v>1457.44</v>
      </c>
      <c r="M266">
        <v>1996.81</v>
      </c>
      <c r="N266">
        <v>0.126</v>
      </c>
      <c r="O266">
        <v>23</v>
      </c>
    </row>
    <row r="267" spans="1:15" x14ac:dyDescent="0.25">
      <c r="A267" t="s">
        <v>279</v>
      </c>
      <c r="B267" s="2">
        <v>45902</v>
      </c>
      <c r="C267" s="2">
        <v>45911</v>
      </c>
      <c r="D267" t="s">
        <v>648</v>
      </c>
      <c r="E267" t="s">
        <v>653</v>
      </c>
      <c r="F267" t="s">
        <v>667</v>
      </c>
      <c r="G267" t="s">
        <v>701</v>
      </c>
      <c r="H267" t="s">
        <v>710</v>
      </c>
      <c r="I267" t="s">
        <v>724</v>
      </c>
      <c r="J267" t="s">
        <v>728</v>
      </c>
      <c r="K267" t="s">
        <v>999</v>
      </c>
      <c r="L267">
        <v>1207.6300000000001</v>
      </c>
      <c r="M267">
        <v>921.68</v>
      </c>
      <c r="N267">
        <v>0.19600000000000001</v>
      </c>
      <c r="O267">
        <v>17</v>
      </c>
    </row>
    <row r="268" spans="1:15" x14ac:dyDescent="0.25">
      <c r="A268" t="s">
        <v>280</v>
      </c>
      <c r="B268" s="2">
        <v>45573</v>
      </c>
      <c r="C268" s="2">
        <v>45573</v>
      </c>
      <c r="D268" t="s">
        <v>649</v>
      </c>
      <c r="E268" t="s">
        <v>658</v>
      </c>
      <c r="F268" t="s">
        <v>683</v>
      </c>
      <c r="G268" t="s">
        <v>701</v>
      </c>
      <c r="H268" t="s">
        <v>708</v>
      </c>
      <c r="I268" t="s">
        <v>718</v>
      </c>
      <c r="J268" t="s">
        <v>732</v>
      </c>
      <c r="K268" t="s">
        <v>1000</v>
      </c>
      <c r="L268">
        <v>1108.1099999999999</v>
      </c>
      <c r="M268">
        <v>2503.79</v>
      </c>
      <c r="N268">
        <v>0.184</v>
      </c>
      <c r="O268">
        <v>19</v>
      </c>
    </row>
    <row r="269" spans="1:15" x14ac:dyDescent="0.25">
      <c r="A269" t="s">
        <v>281</v>
      </c>
      <c r="B269" s="2">
        <v>45053</v>
      </c>
      <c r="C269" s="2">
        <v>45051</v>
      </c>
      <c r="D269" t="s">
        <v>646</v>
      </c>
      <c r="E269" t="s">
        <v>651</v>
      </c>
      <c r="F269" t="s">
        <v>663</v>
      </c>
      <c r="G269" t="s">
        <v>703</v>
      </c>
      <c r="H269" t="s">
        <v>709</v>
      </c>
      <c r="I269" t="s">
        <v>720</v>
      </c>
      <c r="J269" t="s">
        <v>727</v>
      </c>
      <c r="K269" t="s">
        <v>1001</v>
      </c>
      <c r="L269">
        <v>1269.6500000000001</v>
      </c>
      <c r="M269">
        <v>2462.77</v>
      </c>
      <c r="N269">
        <v>0.107</v>
      </c>
      <c r="O269">
        <v>8</v>
      </c>
    </row>
    <row r="270" spans="1:15" x14ac:dyDescent="0.25">
      <c r="A270" t="s">
        <v>282</v>
      </c>
      <c r="B270" s="2">
        <v>45284</v>
      </c>
      <c r="C270" s="2">
        <v>45292</v>
      </c>
      <c r="D270" t="s">
        <v>648</v>
      </c>
      <c r="E270" t="s">
        <v>655</v>
      </c>
      <c r="F270" t="s">
        <v>670</v>
      </c>
      <c r="G270" t="s">
        <v>702</v>
      </c>
      <c r="H270" t="s">
        <v>711</v>
      </c>
      <c r="I270" t="s">
        <v>712</v>
      </c>
      <c r="J270" t="s">
        <v>730</v>
      </c>
      <c r="K270" t="s">
        <v>1002</v>
      </c>
      <c r="L270">
        <v>526.49</v>
      </c>
      <c r="M270">
        <v>496.2</v>
      </c>
      <c r="N270">
        <v>0</v>
      </c>
      <c r="O270">
        <v>14</v>
      </c>
    </row>
    <row r="271" spans="1:15" x14ac:dyDescent="0.25">
      <c r="A271" t="s">
        <v>283</v>
      </c>
      <c r="B271" s="2">
        <v>45301</v>
      </c>
      <c r="C271" s="2">
        <v>45314</v>
      </c>
      <c r="D271" t="s">
        <v>649</v>
      </c>
      <c r="E271" t="s">
        <v>657</v>
      </c>
      <c r="F271" t="s">
        <v>673</v>
      </c>
      <c r="G271" t="s">
        <v>701</v>
      </c>
      <c r="H271" t="s">
        <v>711</v>
      </c>
      <c r="I271" t="s">
        <v>720</v>
      </c>
      <c r="J271" t="s">
        <v>728</v>
      </c>
      <c r="K271" t="s">
        <v>1003</v>
      </c>
      <c r="L271">
        <v>720</v>
      </c>
      <c r="M271">
        <v>907.59</v>
      </c>
      <c r="N271">
        <v>0.154</v>
      </c>
      <c r="O271">
        <v>10</v>
      </c>
    </row>
    <row r="272" spans="1:15" x14ac:dyDescent="0.25">
      <c r="A272" t="s">
        <v>284</v>
      </c>
      <c r="B272" s="2">
        <v>45141</v>
      </c>
      <c r="C272" s="2">
        <v>45152</v>
      </c>
      <c r="D272" t="s">
        <v>648</v>
      </c>
      <c r="E272" t="s">
        <v>655</v>
      </c>
      <c r="F272" t="s">
        <v>672</v>
      </c>
      <c r="G272" t="s">
        <v>701</v>
      </c>
      <c r="H272" t="s">
        <v>711</v>
      </c>
      <c r="I272" t="s">
        <v>713</v>
      </c>
      <c r="J272" t="s">
        <v>733</v>
      </c>
      <c r="K272" t="s">
        <v>1004</v>
      </c>
      <c r="L272">
        <v>232.73</v>
      </c>
      <c r="M272">
        <v>334.19</v>
      </c>
      <c r="N272">
        <v>0.13400000000000001</v>
      </c>
      <c r="O272">
        <v>25</v>
      </c>
    </row>
    <row r="273" spans="1:15" x14ac:dyDescent="0.25">
      <c r="A273" t="s">
        <v>285</v>
      </c>
      <c r="B273" s="2">
        <v>45707</v>
      </c>
      <c r="C273" s="2">
        <v>45725</v>
      </c>
      <c r="D273" t="s">
        <v>647</v>
      </c>
      <c r="E273" t="s">
        <v>654</v>
      </c>
      <c r="F273" t="s">
        <v>680</v>
      </c>
      <c r="G273" t="s">
        <v>705</v>
      </c>
      <c r="H273" t="s">
        <v>711</v>
      </c>
      <c r="I273" t="s">
        <v>719</v>
      </c>
      <c r="J273" t="s">
        <v>732</v>
      </c>
      <c r="K273" t="s">
        <v>1005</v>
      </c>
      <c r="L273">
        <v>325.87</v>
      </c>
      <c r="M273">
        <v>538.79</v>
      </c>
      <c r="N273">
        <v>0.17399999999999999</v>
      </c>
      <c r="O273">
        <v>16</v>
      </c>
    </row>
    <row r="274" spans="1:15" x14ac:dyDescent="0.25">
      <c r="A274" t="s">
        <v>286</v>
      </c>
      <c r="B274" s="2">
        <v>45382</v>
      </c>
      <c r="C274" s="2">
        <v>45399</v>
      </c>
      <c r="D274" t="s">
        <v>649</v>
      </c>
      <c r="E274" t="s">
        <v>656</v>
      </c>
      <c r="F274" t="s">
        <v>698</v>
      </c>
      <c r="G274" t="s">
        <v>702</v>
      </c>
      <c r="H274" t="s">
        <v>711</v>
      </c>
      <c r="I274" t="s">
        <v>722</v>
      </c>
      <c r="J274" t="s">
        <v>732</v>
      </c>
      <c r="K274" t="s">
        <v>1006</v>
      </c>
      <c r="L274">
        <v>1025.51</v>
      </c>
      <c r="M274">
        <v>1436.54</v>
      </c>
      <c r="N274">
        <v>0.13900000000000001</v>
      </c>
      <c r="O274">
        <v>28</v>
      </c>
    </row>
    <row r="275" spans="1:15" x14ac:dyDescent="0.25">
      <c r="A275" t="s">
        <v>287</v>
      </c>
      <c r="B275" s="2">
        <v>45131</v>
      </c>
      <c r="C275" s="2">
        <v>45151</v>
      </c>
      <c r="D275" t="s">
        <v>648</v>
      </c>
      <c r="E275" t="s">
        <v>653</v>
      </c>
      <c r="F275" t="s">
        <v>681</v>
      </c>
      <c r="G275" t="s">
        <v>702</v>
      </c>
      <c r="H275" t="s">
        <v>711</v>
      </c>
      <c r="I275" t="s">
        <v>712</v>
      </c>
      <c r="J275" t="s">
        <v>732</v>
      </c>
      <c r="K275" t="s">
        <v>1007</v>
      </c>
      <c r="L275">
        <v>1082.3800000000001</v>
      </c>
      <c r="M275">
        <v>1766.55</v>
      </c>
      <c r="N275">
        <v>0.16400000000000001</v>
      </c>
      <c r="O275">
        <v>20</v>
      </c>
    </row>
    <row r="276" spans="1:15" x14ac:dyDescent="0.25">
      <c r="A276" t="s">
        <v>288</v>
      </c>
      <c r="B276" s="2">
        <v>45367</v>
      </c>
      <c r="C276" s="2">
        <v>45395</v>
      </c>
      <c r="D276" t="s">
        <v>649</v>
      </c>
      <c r="E276" t="s">
        <v>657</v>
      </c>
      <c r="F276" t="s">
        <v>690</v>
      </c>
      <c r="G276" t="s">
        <v>705</v>
      </c>
      <c r="H276" t="s">
        <v>708</v>
      </c>
      <c r="I276" t="s">
        <v>723</v>
      </c>
      <c r="J276" t="s">
        <v>728</v>
      </c>
      <c r="K276" t="s">
        <v>1008</v>
      </c>
      <c r="L276">
        <v>287.61</v>
      </c>
      <c r="M276">
        <v>628.54</v>
      </c>
      <c r="N276">
        <v>0.13500000000000001</v>
      </c>
      <c r="O276">
        <v>21</v>
      </c>
    </row>
    <row r="277" spans="1:15" x14ac:dyDescent="0.25">
      <c r="A277" t="s">
        <v>289</v>
      </c>
      <c r="B277" s="2">
        <v>45316</v>
      </c>
      <c r="C277" s="2">
        <v>45318</v>
      </c>
      <c r="D277" t="s">
        <v>648</v>
      </c>
      <c r="E277" t="s">
        <v>655</v>
      </c>
      <c r="F277" t="s">
        <v>670</v>
      </c>
      <c r="G277" t="s">
        <v>703</v>
      </c>
      <c r="H277" t="s">
        <v>709</v>
      </c>
      <c r="I277" t="s">
        <v>725</v>
      </c>
      <c r="J277" t="s">
        <v>731</v>
      </c>
      <c r="K277" t="s">
        <v>1009</v>
      </c>
      <c r="L277">
        <v>1410.97</v>
      </c>
      <c r="M277">
        <v>1650.75</v>
      </c>
      <c r="N277">
        <v>0.13500000000000001</v>
      </c>
      <c r="O277">
        <v>6</v>
      </c>
    </row>
    <row r="278" spans="1:15" x14ac:dyDescent="0.25">
      <c r="A278" t="s">
        <v>290</v>
      </c>
      <c r="B278" s="2">
        <v>45378</v>
      </c>
      <c r="C278" s="2">
        <v>45393</v>
      </c>
      <c r="D278" t="s">
        <v>648</v>
      </c>
      <c r="E278" t="s">
        <v>660</v>
      </c>
      <c r="F278" t="s">
        <v>686</v>
      </c>
      <c r="G278" t="s">
        <v>705</v>
      </c>
      <c r="H278" t="s">
        <v>711</v>
      </c>
      <c r="I278" t="s">
        <v>719</v>
      </c>
      <c r="J278" t="s">
        <v>729</v>
      </c>
      <c r="K278" t="s">
        <v>1010</v>
      </c>
      <c r="L278">
        <v>1338.35</v>
      </c>
      <c r="M278">
        <v>2247.14</v>
      </c>
      <c r="N278">
        <v>0.115</v>
      </c>
      <c r="O278">
        <v>40</v>
      </c>
    </row>
    <row r="279" spans="1:15" x14ac:dyDescent="0.25">
      <c r="A279" t="s">
        <v>291</v>
      </c>
      <c r="B279" s="2">
        <v>45832</v>
      </c>
      <c r="C279" s="2">
        <v>45852</v>
      </c>
      <c r="D279" t="s">
        <v>649</v>
      </c>
      <c r="E279" t="s">
        <v>656</v>
      </c>
      <c r="F279" t="s">
        <v>671</v>
      </c>
      <c r="G279" t="s">
        <v>701</v>
      </c>
      <c r="H279" t="s">
        <v>711</v>
      </c>
      <c r="I279" t="s">
        <v>719</v>
      </c>
      <c r="J279" t="s">
        <v>733</v>
      </c>
      <c r="K279" t="s">
        <v>1011</v>
      </c>
      <c r="L279">
        <v>385.08</v>
      </c>
      <c r="M279">
        <v>893.19</v>
      </c>
      <c r="N279">
        <v>0.151</v>
      </c>
      <c r="O279">
        <v>8</v>
      </c>
    </row>
    <row r="280" spans="1:15" x14ac:dyDescent="0.25">
      <c r="A280" t="s">
        <v>292</v>
      </c>
      <c r="B280" s="2">
        <v>45459</v>
      </c>
      <c r="C280" s="2">
        <v>45476</v>
      </c>
      <c r="D280" t="s">
        <v>646</v>
      </c>
      <c r="E280" t="s">
        <v>661</v>
      </c>
      <c r="F280" t="s">
        <v>682</v>
      </c>
      <c r="G280" t="s">
        <v>706</v>
      </c>
      <c r="H280" t="s">
        <v>709</v>
      </c>
      <c r="I280" t="s">
        <v>721</v>
      </c>
      <c r="J280" t="s">
        <v>730</v>
      </c>
      <c r="K280" t="s">
        <v>1012</v>
      </c>
      <c r="L280">
        <v>1173.83</v>
      </c>
      <c r="M280">
        <v>2328.9</v>
      </c>
      <c r="N280">
        <v>0.12</v>
      </c>
      <c r="O280">
        <v>17</v>
      </c>
    </row>
    <row r="281" spans="1:15" x14ac:dyDescent="0.25">
      <c r="A281" t="s">
        <v>293</v>
      </c>
      <c r="B281" s="2">
        <v>45229</v>
      </c>
      <c r="C281" s="2">
        <v>45244</v>
      </c>
      <c r="D281" t="s">
        <v>647</v>
      </c>
      <c r="E281" t="s">
        <v>654</v>
      </c>
      <c r="F281" t="s">
        <v>668</v>
      </c>
      <c r="G281" t="s">
        <v>701</v>
      </c>
      <c r="H281" t="s">
        <v>708</v>
      </c>
      <c r="I281" t="s">
        <v>721</v>
      </c>
      <c r="J281" t="s">
        <v>731</v>
      </c>
      <c r="K281" t="s">
        <v>1013</v>
      </c>
      <c r="L281">
        <v>953.46</v>
      </c>
      <c r="M281">
        <v>2066.75</v>
      </c>
      <c r="N281">
        <v>0.13800000000000001</v>
      </c>
      <c r="O281">
        <v>5</v>
      </c>
    </row>
    <row r="282" spans="1:15" x14ac:dyDescent="0.25">
      <c r="A282" t="s">
        <v>294</v>
      </c>
      <c r="B282" s="2">
        <v>45092</v>
      </c>
      <c r="C282" s="2">
        <v>45100</v>
      </c>
      <c r="D282" t="s">
        <v>648</v>
      </c>
      <c r="E282" t="s">
        <v>660</v>
      </c>
      <c r="F282" t="s">
        <v>686</v>
      </c>
      <c r="G282" t="s">
        <v>704</v>
      </c>
      <c r="H282" t="s">
        <v>710</v>
      </c>
      <c r="I282" t="s">
        <v>719</v>
      </c>
      <c r="J282" t="s">
        <v>732</v>
      </c>
      <c r="K282" t="s">
        <v>1014</v>
      </c>
      <c r="L282">
        <v>1097.0899999999999</v>
      </c>
      <c r="M282">
        <v>2182.31</v>
      </c>
      <c r="N282">
        <v>0.112</v>
      </c>
      <c r="O282">
        <v>9</v>
      </c>
    </row>
    <row r="283" spans="1:15" x14ac:dyDescent="0.25">
      <c r="A283" t="s">
        <v>295</v>
      </c>
      <c r="B283" s="2">
        <v>45730</v>
      </c>
      <c r="C283" s="2">
        <v>45745</v>
      </c>
      <c r="D283" t="s">
        <v>647</v>
      </c>
      <c r="E283" t="s">
        <v>652</v>
      </c>
      <c r="F283" t="s">
        <v>689</v>
      </c>
      <c r="G283" t="s">
        <v>703</v>
      </c>
      <c r="H283" t="s">
        <v>711</v>
      </c>
      <c r="I283" t="s">
        <v>722</v>
      </c>
      <c r="J283" t="s">
        <v>729</v>
      </c>
      <c r="K283" t="s">
        <v>1015</v>
      </c>
      <c r="L283">
        <v>1106.96</v>
      </c>
      <c r="M283">
        <v>2726.62</v>
      </c>
      <c r="N283">
        <v>0.317</v>
      </c>
      <c r="O283">
        <v>7</v>
      </c>
    </row>
    <row r="284" spans="1:15" x14ac:dyDescent="0.25">
      <c r="A284" t="s">
        <v>296</v>
      </c>
      <c r="B284" s="2">
        <v>45153</v>
      </c>
      <c r="C284" s="2">
        <v>45163</v>
      </c>
      <c r="D284" t="s">
        <v>646</v>
      </c>
      <c r="E284" t="s">
        <v>650</v>
      </c>
      <c r="F284" t="s">
        <v>664</v>
      </c>
      <c r="G284" t="s">
        <v>705</v>
      </c>
      <c r="H284" t="s">
        <v>707</v>
      </c>
      <c r="I284" t="s">
        <v>725</v>
      </c>
      <c r="J284" t="s">
        <v>730</v>
      </c>
      <c r="K284" t="s">
        <v>1016</v>
      </c>
      <c r="L284">
        <v>91.85</v>
      </c>
      <c r="M284">
        <v>111.29</v>
      </c>
      <c r="N284">
        <v>0</v>
      </c>
      <c r="O284">
        <v>6</v>
      </c>
    </row>
    <row r="285" spans="1:15" x14ac:dyDescent="0.25">
      <c r="A285" t="s">
        <v>297</v>
      </c>
      <c r="B285" s="2">
        <v>45794</v>
      </c>
      <c r="C285" s="2">
        <v>45805</v>
      </c>
      <c r="D285" t="s">
        <v>647</v>
      </c>
      <c r="E285" t="s">
        <v>654</v>
      </c>
      <c r="F285" t="s">
        <v>668</v>
      </c>
      <c r="G285" t="s">
        <v>701</v>
      </c>
      <c r="H285" t="s">
        <v>710</v>
      </c>
      <c r="I285" t="s">
        <v>717</v>
      </c>
      <c r="J285" t="s">
        <v>731</v>
      </c>
      <c r="K285" t="s">
        <v>1017</v>
      </c>
      <c r="L285">
        <v>623.4</v>
      </c>
      <c r="M285">
        <v>1100.0899999999999</v>
      </c>
      <c r="N285">
        <v>0.114</v>
      </c>
      <c r="O285">
        <v>12</v>
      </c>
    </row>
    <row r="286" spans="1:15" x14ac:dyDescent="0.25">
      <c r="A286" t="s">
        <v>298</v>
      </c>
      <c r="B286" s="2">
        <v>45304</v>
      </c>
      <c r="C286" s="2">
        <v>45327</v>
      </c>
      <c r="D286" t="s">
        <v>649</v>
      </c>
      <c r="E286" t="s">
        <v>656</v>
      </c>
      <c r="F286" t="s">
        <v>698</v>
      </c>
      <c r="G286" t="s">
        <v>702</v>
      </c>
      <c r="H286" t="s">
        <v>711</v>
      </c>
      <c r="I286" t="s">
        <v>717</v>
      </c>
      <c r="J286" t="s">
        <v>731</v>
      </c>
      <c r="K286" t="s">
        <v>1018</v>
      </c>
      <c r="L286">
        <v>1017.93</v>
      </c>
      <c r="M286">
        <v>1529.14</v>
      </c>
      <c r="N286">
        <v>0.155</v>
      </c>
      <c r="O286">
        <v>12</v>
      </c>
    </row>
    <row r="287" spans="1:15" x14ac:dyDescent="0.25">
      <c r="A287" t="s">
        <v>299</v>
      </c>
      <c r="B287" s="2">
        <v>45101</v>
      </c>
      <c r="C287" s="2">
        <v>45128</v>
      </c>
      <c r="D287" t="s">
        <v>647</v>
      </c>
      <c r="E287" t="s">
        <v>652</v>
      </c>
      <c r="F287" t="s">
        <v>694</v>
      </c>
      <c r="G287" t="s">
        <v>704</v>
      </c>
      <c r="H287" t="s">
        <v>709</v>
      </c>
      <c r="I287" t="s">
        <v>713</v>
      </c>
      <c r="J287" t="s">
        <v>730</v>
      </c>
      <c r="K287" t="s">
        <v>1019</v>
      </c>
      <c r="L287">
        <v>554.76</v>
      </c>
      <c r="M287">
        <v>728.69</v>
      </c>
      <c r="N287">
        <v>0.22</v>
      </c>
      <c r="O287">
        <v>7</v>
      </c>
    </row>
    <row r="288" spans="1:15" x14ac:dyDescent="0.25">
      <c r="A288" t="s">
        <v>300</v>
      </c>
      <c r="B288" s="2">
        <v>45751</v>
      </c>
      <c r="C288" s="2">
        <v>45760</v>
      </c>
      <c r="D288" t="s">
        <v>649</v>
      </c>
      <c r="E288" t="s">
        <v>656</v>
      </c>
      <c r="F288" t="s">
        <v>684</v>
      </c>
      <c r="G288" t="s">
        <v>704</v>
      </c>
      <c r="H288" t="s">
        <v>709</v>
      </c>
      <c r="I288" t="s">
        <v>721</v>
      </c>
      <c r="J288" t="s">
        <v>730</v>
      </c>
      <c r="K288" t="s">
        <v>1020</v>
      </c>
      <c r="L288">
        <v>7.02</v>
      </c>
      <c r="M288">
        <v>6.28</v>
      </c>
      <c r="N288">
        <v>0.13400000000000001</v>
      </c>
      <c r="O288">
        <v>14</v>
      </c>
    </row>
    <row r="289" spans="1:15" x14ac:dyDescent="0.25">
      <c r="A289" t="s">
        <v>301</v>
      </c>
      <c r="B289" s="2">
        <v>45542</v>
      </c>
      <c r="C289" s="2">
        <v>45542</v>
      </c>
      <c r="D289" t="s">
        <v>647</v>
      </c>
      <c r="E289" t="s">
        <v>654</v>
      </c>
      <c r="F289" t="s">
        <v>691</v>
      </c>
      <c r="G289" t="s">
        <v>702</v>
      </c>
      <c r="H289" t="s">
        <v>710</v>
      </c>
      <c r="I289" t="s">
        <v>717</v>
      </c>
      <c r="J289" t="s">
        <v>729</v>
      </c>
      <c r="K289" t="s">
        <v>1021</v>
      </c>
      <c r="L289">
        <v>1066.6500000000001</v>
      </c>
      <c r="M289">
        <v>2569.77</v>
      </c>
      <c r="N289">
        <v>0.13400000000000001</v>
      </c>
      <c r="O289">
        <v>9</v>
      </c>
    </row>
    <row r="290" spans="1:15" x14ac:dyDescent="0.25">
      <c r="A290" t="s">
        <v>302</v>
      </c>
      <c r="B290" s="2">
        <v>45319</v>
      </c>
      <c r="C290" s="2">
        <v>45321</v>
      </c>
      <c r="D290" t="s">
        <v>646</v>
      </c>
      <c r="E290" t="s">
        <v>661</v>
      </c>
      <c r="F290" t="s">
        <v>695</v>
      </c>
      <c r="G290" t="s">
        <v>704</v>
      </c>
      <c r="H290" t="s">
        <v>711</v>
      </c>
      <c r="I290" t="s">
        <v>721</v>
      </c>
      <c r="J290" t="s">
        <v>733</v>
      </c>
      <c r="K290" t="s">
        <v>1022</v>
      </c>
      <c r="L290">
        <v>798.45</v>
      </c>
      <c r="M290">
        <v>1592.02</v>
      </c>
      <c r="N290">
        <v>6.6000000000000003E-2</v>
      </c>
      <c r="O290">
        <v>18</v>
      </c>
    </row>
    <row r="291" spans="1:15" x14ac:dyDescent="0.25">
      <c r="A291" t="s">
        <v>303</v>
      </c>
      <c r="B291" s="2">
        <v>45125</v>
      </c>
      <c r="C291" s="2">
        <v>45148</v>
      </c>
      <c r="D291" t="s">
        <v>646</v>
      </c>
      <c r="E291" t="s">
        <v>661</v>
      </c>
      <c r="F291" t="s">
        <v>682</v>
      </c>
      <c r="G291" t="s">
        <v>705</v>
      </c>
      <c r="H291" t="s">
        <v>707</v>
      </c>
      <c r="I291" t="s">
        <v>716</v>
      </c>
      <c r="J291" t="s">
        <v>727</v>
      </c>
      <c r="K291" t="s">
        <v>1023</v>
      </c>
      <c r="L291">
        <v>1271.56</v>
      </c>
      <c r="M291">
        <v>995.47</v>
      </c>
      <c r="N291">
        <v>0.192</v>
      </c>
      <c r="O291">
        <v>13</v>
      </c>
    </row>
    <row r="292" spans="1:15" x14ac:dyDescent="0.25">
      <c r="A292" t="s">
        <v>304</v>
      </c>
      <c r="B292" s="2">
        <v>45897</v>
      </c>
      <c r="C292" s="2">
        <v>45895</v>
      </c>
      <c r="D292" t="s">
        <v>646</v>
      </c>
      <c r="E292" t="s">
        <v>651</v>
      </c>
      <c r="F292" t="s">
        <v>663</v>
      </c>
      <c r="G292" t="s">
        <v>705</v>
      </c>
      <c r="H292" t="s">
        <v>707</v>
      </c>
      <c r="I292" t="s">
        <v>720</v>
      </c>
      <c r="J292" t="s">
        <v>733</v>
      </c>
      <c r="K292" t="s">
        <v>1024</v>
      </c>
      <c r="L292">
        <v>521.05999999999995</v>
      </c>
      <c r="M292">
        <v>1240.31</v>
      </c>
      <c r="N292">
        <v>0.14599999999999999</v>
      </c>
      <c r="O292">
        <v>18</v>
      </c>
    </row>
    <row r="293" spans="1:15" x14ac:dyDescent="0.25">
      <c r="A293" t="s">
        <v>305</v>
      </c>
      <c r="B293" s="2">
        <v>45746</v>
      </c>
      <c r="C293" s="2">
        <v>45754</v>
      </c>
      <c r="D293" t="s">
        <v>648</v>
      </c>
      <c r="E293" t="s">
        <v>655</v>
      </c>
      <c r="F293" t="s">
        <v>670</v>
      </c>
      <c r="G293" t="s">
        <v>703</v>
      </c>
      <c r="H293" t="s">
        <v>711</v>
      </c>
      <c r="I293" t="s">
        <v>716</v>
      </c>
      <c r="J293" t="s">
        <v>728</v>
      </c>
      <c r="K293" t="s">
        <v>1025</v>
      </c>
      <c r="L293">
        <v>71.62</v>
      </c>
      <c r="M293">
        <v>118.37</v>
      </c>
      <c r="N293">
        <v>0.156</v>
      </c>
      <c r="O293">
        <v>11</v>
      </c>
    </row>
    <row r="294" spans="1:15" x14ac:dyDescent="0.25">
      <c r="A294" t="s">
        <v>306</v>
      </c>
      <c r="B294" s="2">
        <v>45220</v>
      </c>
      <c r="C294" s="2">
        <v>45239</v>
      </c>
      <c r="D294" t="s">
        <v>649</v>
      </c>
      <c r="E294" t="s">
        <v>658</v>
      </c>
      <c r="F294" t="s">
        <v>683</v>
      </c>
      <c r="G294" t="s">
        <v>703</v>
      </c>
      <c r="H294" t="s">
        <v>711</v>
      </c>
      <c r="I294" t="s">
        <v>720</v>
      </c>
      <c r="J294" t="s">
        <v>733</v>
      </c>
      <c r="K294" t="s">
        <v>1026</v>
      </c>
      <c r="L294">
        <v>1142.48</v>
      </c>
      <c r="M294">
        <v>2105.5300000000002</v>
      </c>
      <c r="N294">
        <v>0.20699999999999999</v>
      </c>
      <c r="O294">
        <v>14</v>
      </c>
    </row>
    <row r="295" spans="1:15" x14ac:dyDescent="0.25">
      <c r="A295" t="s">
        <v>307</v>
      </c>
      <c r="B295" s="2">
        <v>45161</v>
      </c>
      <c r="C295" s="2">
        <v>45191</v>
      </c>
      <c r="D295" t="s">
        <v>649</v>
      </c>
      <c r="E295" t="s">
        <v>658</v>
      </c>
      <c r="F295" t="s">
        <v>683</v>
      </c>
      <c r="G295" t="s">
        <v>704</v>
      </c>
      <c r="H295" t="s">
        <v>710</v>
      </c>
      <c r="I295" t="s">
        <v>719</v>
      </c>
      <c r="J295" t="s">
        <v>733</v>
      </c>
      <c r="K295" t="s">
        <v>1027</v>
      </c>
      <c r="L295">
        <v>209.81</v>
      </c>
      <c r="M295">
        <v>523</v>
      </c>
      <c r="N295">
        <v>5.8999999999999997E-2</v>
      </c>
      <c r="O295">
        <v>15</v>
      </c>
    </row>
    <row r="296" spans="1:15" x14ac:dyDescent="0.25">
      <c r="A296" t="s">
        <v>308</v>
      </c>
      <c r="B296" s="2">
        <v>45758</v>
      </c>
      <c r="C296" s="2">
        <v>45781</v>
      </c>
      <c r="D296" t="s">
        <v>647</v>
      </c>
      <c r="E296" t="s">
        <v>652</v>
      </c>
      <c r="F296" t="s">
        <v>666</v>
      </c>
      <c r="G296" t="s">
        <v>705</v>
      </c>
      <c r="H296" t="s">
        <v>708</v>
      </c>
      <c r="I296" t="s">
        <v>724</v>
      </c>
      <c r="J296" t="s">
        <v>727</v>
      </c>
      <c r="K296" t="s">
        <v>1028</v>
      </c>
      <c r="L296">
        <v>786.2</v>
      </c>
      <c r="M296">
        <v>1075.3</v>
      </c>
      <c r="N296">
        <v>0.08</v>
      </c>
      <c r="O296">
        <v>9</v>
      </c>
    </row>
    <row r="297" spans="1:15" x14ac:dyDescent="0.25">
      <c r="A297" t="s">
        <v>309</v>
      </c>
      <c r="B297" s="2">
        <v>45809</v>
      </c>
      <c r="C297" s="2">
        <v>45835</v>
      </c>
      <c r="D297" t="s">
        <v>649</v>
      </c>
      <c r="E297" t="s">
        <v>656</v>
      </c>
      <c r="F297" t="s">
        <v>684</v>
      </c>
      <c r="G297" t="s">
        <v>704</v>
      </c>
      <c r="H297" t="s">
        <v>710</v>
      </c>
      <c r="I297" t="s">
        <v>718</v>
      </c>
      <c r="J297" t="s">
        <v>731</v>
      </c>
      <c r="K297" t="s">
        <v>1029</v>
      </c>
      <c r="L297">
        <v>1362.31</v>
      </c>
      <c r="M297">
        <v>3294.57</v>
      </c>
      <c r="N297">
        <v>0.113</v>
      </c>
      <c r="O297">
        <v>7</v>
      </c>
    </row>
    <row r="298" spans="1:15" x14ac:dyDescent="0.25">
      <c r="A298" t="s">
        <v>310</v>
      </c>
      <c r="B298" s="2">
        <v>45353</v>
      </c>
      <c r="C298" s="2">
        <v>45367</v>
      </c>
      <c r="D298" t="s">
        <v>648</v>
      </c>
      <c r="E298" t="s">
        <v>653</v>
      </c>
      <c r="F298" t="s">
        <v>688</v>
      </c>
      <c r="G298" t="s">
        <v>703</v>
      </c>
      <c r="H298" t="s">
        <v>711</v>
      </c>
      <c r="I298" t="s">
        <v>719</v>
      </c>
      <c r="J298" t="s">
        <v>728</v>
      </c>
      <c r="K298" t="s">
        <v>1030</v>
      </c>
      <c r="L298">
        <v>248.24</v>
      </c>
      <c r="M298">
        <v>464.05</v>
      </c>
      <c r="N298">
        <v>0.16900000000000001</v>
      </c>
      <c r="O298">
        <v>11</v>
      </c>
    </row>
    <row r="299" spans="1:15" x14ac:dyDescent="0.25">
      <c r="A299" t="s">
        <v>311</v>
      </c>
      <c r="B299" s="2">
        <v>45097</v>
      </c>
      <c r="C299" s="2">
        <v>45115</v>
      </c>
      <c r="D299" t="s">
        <v>648</v>
      </c>
      <c r="E299" t="s">
        <v>660</v>
      </c>
      <c r="F299" t="s">
        <v>697</v>
      </c>
      <c r="G299" t="s">
        <v>703</v>
      </c>
      <c r="H299" t="s">
        <v>711</v>
      </c>
      <c r="I299" t="s">
        <v>721</v>
      </c>
      <c r="J299" t="s">
        <v>732</v>
      </c>
      <c r="K299" t="s">
        <v>1031</v>
      </c>
      <c r="L299">
        <v>337</v>
      </c>
      <c r="M299">
        <v>511.03</v>
      </c>
      <c r="N299">
        <v>0.108</v>
      </c>
      <c r="O299">
        <v>7</v>
      </c>
    </row>
    <row r="300" spans="1:15" x14ac:dyDescent="0.25">
      <c r="A300" t="s">
        <v>312</v>
      </c>
      <c r="B300" s="2">
        <v>45377</v>
      </c>
      <c r="C300" s="2">
        <v>45387</v>
      </c>
      <c r="D300" t="s">
        <v>648</v>
      </c>
      <c r="E300" t="s">
        <v>660</v>
      </c>
      <c r="F300" t="s">
        <v>697</v>
      </c>
      <c r="G300" t="s">
        <v>704</v>
      </c>
      <c r="H300" t="s">
        <v>711</v>
      </c>
      <c r="I300" t="s">
        <v>713</v>
      </c>
      <c r="J300" t="s">
        <v>732</v>
      </c>
      <c r="K300" t="s">
        <v>1032</v>
      </c>
      <c r="L300">
        <v>5.66</v>
      </c>
      <c r="M300">
        <v>4.22</v>
      </c>
      <c r="N300">
        <v>0.11899999999999999</v>
      </c>
      <c r="O300">
        <v>18</v>
      </c>
    </row>
    <row r="301" spans="1:15" x14ac:dyDescent="0.25">
      <c r="A301" t="s">
        <v>313</v>
      </c>
      <c r="B301" s="2">
        <v>45679</v>
      </c>
      <c r="C301" s="2">
        <v>45679</v>
      </c>
      <c r="D301" t="s">
        <v>649</v>
      </c>
      <c r="E301" t="s">
        <v>657</v>
      </c>
      <c r="F301" t="s">
        <v>679</v>
      </c>
      <c r="G301" t="s">
        <v>705</v>
      </c>
      <c r="H301" t="s">
        <v>708</v>
      </c>
      <c r="I301" t="s">
        <v>717</v>
      </c>
      <c r="J301" t="s">
        <v>733</v>
      </c>
      <c r="K301" t="s">
        <v>1033</v>
      </c>
      <c r="L301">
        <v>591.72</v>
      </c>
      <c r="M301">
        <v>577.24</v>
      </c>
      <c r="N301">
        <v>0</v>
      </c>
      <c r="O301">
        <v>22</v>
      </c>
    </row>
    <row r="302" spans="1:15" x14ac:dyDescent="0.25">
      <c r="A302" t="s">
        <v>314</v>
      </c>
      <c r="B302" s="2">
        <v>45787</v>
      </c>
      <c r="C302" s="2">
        <v>45804</v>
      </c>
      <c r="D302" t="s">
        <v>648</v>
      </c>
      <c r="E302" t="s">
        <v>653</v>
      </c>
      <c r="F302" t="s">
        <v>688</v>
      </c>
      <c r="G302" t="s">
        <v>702</v>
      </c>
      <c r="H302" t="s">
        <v>711</v>
      </c>
      <c r="I302" t="s">
        <v>712</v>
      </c>
      <c r="J302" t="s">
        <v>727</v>
      </c>
      <c r="K302" t="s">
        <v>1034</v>
      </c>
      <c r="L302">
        <v>862.89</v>
      </c>
      <c r="M302">
        <v>1426.03</v>
      </c>
      <c r="N302">
        <v>5.6000000000000001E-2</v>
      </c>
      <c r="O302">
        <v>19</v>
      </c>
    </row>
    <row r="303" spans="1:15" x14ac:dyDescent="0.25">
      <c r="A303" t="s">
        <v>315</v>
      </c>
      <c r="B303" s="2">
        <v>45204</v>
      </c>
      <c r="C303" s="2">
        <v>45230</v>
      </c>
      <c r="D303" t="s">
        <v>647</v>
      </c>
      <c r="E303" t="s">
        <v>659</v>
      </c>
      <c r="F303" t="s">
        <v>685</v>
      </c>
      <c r="G303" t="s">
        <v>704</v>
      </c>
      <c r="I303" t="s">
        <v>713</v>
      </c>
      <c r="J303" t="s">
        <v>728</v>
      </c>
      <c r="K303" t="s">
        <v>1035</v>
      </c>
      <c r="L303">
        <v>649.91</v>
      </c>
      <c r="M303">
        <v>1360.12</v>
      </c>
      <c r="N303">
        <v>0.19400000000000001</v>
      </c>
      <c r="O303">
        <v>9</v>
      </c>
    </row>
    <row r="304" spans="1:15" x14ac:dyDescent="0.25">
      <c r="A304" t="s">
        <v>316</v>
      </c>
      <c r="B304" s="2">
        <v>45125</v>
      </c>
      <c r="C304" s="2">
        <v>45129</v>
      </c>
      <c r="D304" t="s">
        <v>648</v>
      </c>
      <c r="E304" t="s">
        <v>655</v>
      </c>
      <c r="F304" t="s">
        <v>670</v>
      </c>
      <c r="G304" t="s">
        <v>704</v>
      </c>
      <c r="H304" t="s">
        <v>711</v>
      </c>
      <c r="I304" t="s">
        <v>721</v>
      </c>
      <c r="J304" t="s">
        <v>729</v>
      </c>
      <c r="K304" t="s">
        <v>1036</v>
      </c>
      <c r="L304">
        <v>1269.55</v>
      </c>
      <c r="M304">
        <v>2071.1</v>
      </c>
      <c r="N304">
        <v>0.129</v>
      </c>
      <c r="O304">
        <v>22</v>
      </c>
    </row>
    <row r="305" spans="1:15" x14ac:dyDescent="0.25">
      <c r="A305" t="s">
        <v>317</v>
      </c>
      <c r="B305" s="2">
        <v>45830</v>
      </c>
      <c r="C305" s="2">
        <v>45846</v>
      </c>
      <c r="D305" t="s">
        <v>649</v>
      </c>
      <c r="E305" t="s">
        <v>658</v>
      </c>
      <c r="F305" t="s">
        <v>683</v>
      </c>
      <c r="G305" t="s">
        <v>702</v>
      </c>
      <c r="H305" t="s">
        <v>711</v>
      </c>
      <c r="I305" t="s">
        <v>720</v>
      </c>
      <c r="J305" t="s">
        <v>730</v>
      </c>
      <c r="K305" t="s">
        <v>1037</v>
      </c>
      <c r="L305">
        <v>892.73</v>
      </c>
      <c r="M305">
        <v>979.84</v>
      </c>
      <c r="N305">
        <v>0.17399999999999999</v>
      </c>
      <c r="O305">
        <v>10</v>
      </c>
    </row>
    <row r="306" spans="1:15" x14ac:dyDescent="0.25">
      <c r="A306" t="s">
        <v>318</v>
      </c>
      <c r="B306" s="2">
        <v>45462</v>
      </c>
      <c r="C306" s="2">
        <v>45463</v>
      </c>
      <c r="D306" t="s">
        <v>646</v>
      </c>
      <c r="E306" t="s">
        <v>650</v>
      </c>
      <c r="F306" t="s">
        <v>662</v>
      </c>
      <c r="G306" t="s">
        <v>705</v>
      </c>
      <c r="H306" t="s">
        <v>711</v>
      </c>
      <c r="I306" t="s">
        <v>713</v>
      </c>
      <c r="J306" t="s">
        <v>731</v>
      </c>
      <c r="K306" t="s">
        <v>1038</v>
      </c>
      <c r="L306">
        <v>231.63</v>
      </c>
      <c r="M306">
        <v>537.39</v>
      </c>
      <c r="N306">
        <v>0.08</v>
      </c>
      <c r="O306">
        <v>12</v>
      </c>
    </row>
    <row r="307" spans="1:15" x14ac:dyDescent="0.25">
      <c r="A307" t="s">
        <v>319</v>
      </c>
      <c r="B307" s="2">
        <v>45756</v>
      </c>
      <c r="C307" s="2">
        <v>45759</v>
      </c>
      <c r="D307" t="s">
        <v>649</v>
      </c>
      <c r="E307" t="s">
        <v>657</v>
      </c>
      <c r="F307" t="s">
        <v>679</v>
      </c>
      <c r="G307" t="s">
        <v>705</v>
      </c>
      <c r="H307" t="s">
        <v>710</v>
      </c>
      <c r="I307" t="s">
        <v>722</v>
      </c>
      <c r="J307" t="s">
        <v>732</v>
      </c>
      <c r="K307" t="s">
        <v>1039</v>
      </c>
      <c r="L307">
        <v>86.68</v>
      </c>
      <c r="M307">
        <v>213.32</v>
      </c>
      <c r="N307">
        <v>3.7999999999999999E-2</v>
      </c>
      <c r="O307">
        <v>8</v>
      </c>
    </row>
    <row r="308" spans="1:15" x14ac:dyDescent="0.25">
      <c r="A308" t="s">
        <v>320</v>
      </c>
      <c r="B308" s="2">
        <v>45741</v>
      </c>
      <c r="C308" s="2">
        <v>45742</v>
      </c>
      <c r="D308" t="s">
        <v>646</v>
      </c>
      <c r="E308" t="s">
        <v>651</v>
      </c>
      <c r="F308" t="s">
        <v>665</v>
      </c>
      <c r="G308" t="s">
        <v>702</v>
      </c>
      <c r="H308" t="s">
        <v>710</v>
      </c>
      <c r="I308" t="s">
        <v>715</v>
      </c>
      <c r="J308" t="s">
        <v>733</v>
      </c>
      <c r="K308" t="s">
        <v>1040</v>
      </c>
      <c r="L308">
        <v>1450.43</v>
      </c>
      <c r="M308">
        <v>1994.67</v>
      </c>
      <c r="N308">
        <v>0.1</v>
      </c>
      <c r="O308">
        <v>24</v>
      </c>
    </row>
    <row r="309" spans="1:15" x14ac:dyDescent="0.25">
      <c r="A309" t="s">
        <v>321</v>
      </c>
      <c r="B309" s="2">
        <v>45795</v>
      </c>
      <c r="C309" s="2">
        <v>45817</v>
      </c>
      <c r="D309" t="s">
        <v>648</v>
      </c>
      <c r="E309" t="s">
        <v>660</v>
      </c>
      <c r="F309" t="s">
        <v>700</v>
      </c>
      <c r="G309" t="s">
        <v>704</v>
      </c>
      <c r="H309" t="s">
        <v>707</v>
      </c>
      <c r="I309" t="s">
        <v>722</v>
      </c>
      <c r="J309" t="s">
        <v>729</v>
      </c>
      <c r="K309" t="s">
        <v>1041</v>
      </c>
      <c r="L309">
        <v>382.96</v>
      </c>
      <c r="M309">
        <v>552.84</v>
      </c>
      <c r="N309">
        <v>0.17599999999999999</v>
      </c>
      <c r="O309">
        <v>8</v>
      </c>
    </row>
    <row r="310" spans="1:15" x14ac:dyDescent="0.25">
      <c r="A310" t="s">
        <v>322</v>
      </c>
      <c r="B310" s="2">
        <v>45679</v>
      </c>
      <c r="C310" s="2">
        <v>45692</v>
      </c>
      <c r="D310" t="s">
        <v>647</v>
      </c>
      <c r="E310" t="s">
        <v>652</v>
      </c>
      <c r="F310" t="s">
        <v>689</v>
      </c>
      <c r="G310" t="s">
        <v>705</v>
      </c>
      <c r="H310" t="s">
        <v>710</v>
      </c>
      <c r="I310" t="s">
        <v>716</v>
      </c>
      <c r="J310" t="s">
        <v>728</v>
      </c>
      <c r="K310" t="s">
        <v>1042</v>
      </c>
      <c r="L310">
        <v>122.29</v>
      </c>
      <c r="M310">
        <v>224.95</v>
      </c>
      <c r="N310">
        <v>0.153</v>
      </c>
      <c r="O310">
        <v>28</v>
      </c>
    </row>
    <row r="311" spans="1:15" x14ac:dyDescent="0.25">
      <c r="A311" t="s">
        <v>323</v>
      </c>
      <c r="B311" s="2">
        <v>44936</v>
      </c>
      <c r="C311" s="2">
        <v>44955</v>
      </c>
      <c r="D311" t="s">
        <v>649</v>
      </c>
      <c r="E311" t="s">
        <v>657</v>
      </c>
      <c r="F311" t="s">
        <v>679</v>
      </c>
      <c r="G311" t="s">
        <v>703</v>
      </c>
      <c r="H311" t="s">
        <v>711</v>
      </c>
      <c r="I311" t="s">
        <v>726</v>
      </c>
      <c r="J311" t="s">
        <v>731</v>
      </c>
      <c r="K311" t="s">
        <v>1043</v>
      </c>
      <c r="L311">
        <v>401.66</v>
      </c>
      <c r="M311">
        <v>772.09</v>
      </c>
      <c r="N311">
        <v>8.8999999999999996E-2</v>
      </c>
      <c r="O311">
        <v>14</v>
      </c>
    </row>
    <row r="312" spans="1:15" x14ac:dyDescent="0.25">
      <c r="A312" t="s">
        <v>324</v>
      </c>
      <c r="B312" s="2">
        <v>45655</v>
      </c>
      <c r="C312" s="2">
        <v>45669</v>
      </c>
      <c r="D312" t="s">
        <v>649</v>
      </c>
      <c r="E312" t="s">
        <v>658</v>
      </c>
      <c r="F312" t="s">
        <v>693</v>
      </c>
      <c r="G312" t="s">
        <v>701</v>
      </c>
      <c r="H312" t="s">
        <v>711</v>
      </c>
      <c r="I312" t="s">
        <v>717</v>
      </c>
      <c r="J312" t="s">
        <v>732</v>
      </c>
      <c r="K312" t="s">
        <v>1044</v>
      </c>
      <c r="L312">
        <v>1399.72</v>
      </c>
      <c r="M312">
        <v>3149.21</v>
      </c>
      <c r="N312">
        <v>0.185</v>
      </c>
      <c r="O312">
        <v>12</v>
      </c>
    </row>
    <row r="313" spans="1:15" x14ac:dyDescent="0.25">
      <c r="A313" t="s">
        <v>325</v>
      </c>
      <c r="B313" s="2">
        <v>45435</v>
      </c>
      <c r="C313" s="2">
        <v>45449</v>
      </c>
      <c r="D313" t="s">
        <v>648</v>
      </c>
      <c r="E313" t="s">
        <v>655</v>
      </c>
      <c r="F313" t="s">
        <v>692</v>
      </c>
      <c r="G313" t="s">
        <v>703</v>
      </c>
      <c r="H313" t="s">
        <v>708</v>
      </c>
      <c r="I313" t="s">
        <v>714</v>
      </c>
      <c r="J313" t="s">
        <v>729</v>
      </c>
      <c r="K313" t="s">
        <v>1045</v>
      </c>
      <c r="L313">
        <v>51.13</v>
      </c>
      <c r="M313">
        <v>57.53</v>
      </c>
      <c r="N313">
        <v>4.4999999999999998E-2</v>
      </c>
      <c r="O313">
        <v>16</v>
      </c>
    </row>
    <row r="314" spans="1:15" x14ac:dyDescent="0.25">
      <c r="A314" t="s">
        <v>326</v>
      </c>
      <c r="B314" s="2">
        <v>45101</v>
      </c>
      <c r="C314" s="2">
        <v>45099</v>
      </c>
      <c r="D314" t="s">
        <v>648</v>
      </c>
      <c r="E314" t="s">
        <v>653</v>
      </c>
      <c r="F314" t="s">
        <v>667</v>
      </c>
      <c r="G314" t="s">
        <v>703</v>
      </c>
      <c r="H314" t="s">
        <v>707</v>
      </c>
      <c r="I314" t="s">
        <v>724</v>
      </c>
      <c r="J314" t="s">
        <v>733</v>
      </c>
      <c r="K314" t="s">
        <v>1046</v>
      </c>
      <c r="L314">
        <v>471.42</v>
      </c>
      <c r="M314">
        <v>824.81</v>
      </c>
      <c r="N314">
        <v>8.7999999999999995E-2</v>
      </c>
      <c r="O314">
        <v>15</v>
      </c>
    </row>
    <row r="315" spans="1:15" x14ac:dyDescent="0.25">
      <c r="A315" t="s">
        <v>327</v>
      </c>
      <c r="B315" s="2">
        <v>45600</v>
      </c>
      <c r="C315" s="2">
        <v>45601</v>
      </c>
      <c r="D315" t="s">
        <v>649</v>
      </c>
      <c r="E315" t="s">
        <v>658</v>
      </c>
      <c r="F315" t="s">
        <v>683</v>
      </c>
      <c r="G315" t="s">
        <v>701</v>
      </c>
      <c r="H315" t="s">
        <v>707</v>
      </c>
      <c r="I315" t="s">
        <v>724</v>
      </c>
      <c r="J315" t="s">
        <v>728</v>
      </c>
      <c r="K315" t="s">
        <v>1047</v>
      </c>
      <c r="L315">
        <v>840.68</v>
      </c>
      <c r="M315">
        <v>1493.53</v>
      </c>
      <c r="N315">
        <v>0</v>
      </c>
      <c r="O315">
        <v>27</v>
      </c>
    </row>
    <row r="316" spans="1:15" x14ac:dyDescent="0.25">
      <c r="A316" t="s">
        <v>328</v>
      </c>
      <c r="B316" s="2">
        <v>45451</v>
      </c>
      <c r="C316" s="2">
        <v>45467</v>
      </c>
      <c r="D316" t="s">
        <v>646</v>
      </c>
      <c r="E316" t="s">
        <v>661</v>
      </c>
      <c r="F316" t="s">
        <v>687</v>
      </c>
      <c r="G316" t="s">
        <v>702</v>
      </c>
      <c r="H316" t="s">
        <v>710</v>
      </c>
      <c r="I316" t="s">
        <v>722</v>
      </c>
      <c r="J316" t="s">
        <v>732</v>
      </c>
      <c r="K316" t="s">
        <v>1048</v>
      </c>
      <c r="L316">
        <v>597.85</v>
      </c>
      <c r="M316">
        <v>741.92</v>
      </c>
      <c r="N316">
        <v>3.1E-2</v>
      </c>
      <c r="O316">
        <v>7</v>
      </c>
    </row>
    <row r="317" spans="1:15" x14ac:dyDescent="0.25">
      <c r="A317" t="s">
        <v>329</v>
      </c>
      <c r="B317" s="2">
        <v>45809</v>
      </c>
      <c r="C317" s="2">
        <v>45814</v>
      </c>
      <c r="D317" t="s">
        <v>649</v>
      </c>
      <c r="E317" t="s">
        <v>657</v>
      </c>
      <c r="F317" t="s">
        <v>690</v>
      </c>
      <c r="G317" t="s">
        <v>704</v>
      </c>
      <c r="H317" t="s">
        <v>710</v>
      </c>
      <c r="I317" t="s">
        <v>715</v>
      </c>
      <c r="J317" t="s">
        <v>727</v>
      </c>
      <c r="K317" t="s">
        <v>1049</v>
      </c>
      <c r="L317">
        <v>379.45</v>
      </c>
      <c r="M317">
        <v>742.23</v>
      </c>
      <c r="N317">
        <v>0.09</v>
      </c>
      <c r="O317">
        <v>13</v>
      </c>
    </row>
    <row r="318" spans="1:15" x14ac:dyDescent="0.25">
      <c r="A318" t="s">
        <v>330</v>
      </c>
      <c r="B318" s="2">
        <v>45052</v>
      </c>
      <c r="C318" s="2">
        <v>45060</v>
      </c>
      <c r="D318" t="s">
        <v>647</v>
      </c>
      <c r="E318" t="s">
        <v>652</v>
      </c>
      <c r="F318" t="s">
        <v>666</v>
      </c>
      <c r="G318" t="s">
        <v>706</v>
      </c>
      <c r="H318" t="s">
        <v>709</v>
      </c>
      <c r="I318" t="s">
        <v>717</v>
      </c>
      <c r="J318" t="s">
        <v>730</v>
      </c>
      <c r="K318" t="s">
        <v>1050</v>
      </c>
      <c r="L318">
        <v>291.18</v>
      </c>
      <c r="M318">
        <v>479.54</v>
      </c>
      <c r="N318">
        <v>0.14099999999999999</v>
      </c>
      <c r="O318">
        <v>22</v>
      </c>
    </row>
    <row r="319" spans="1:15" x14ac:dyDescent="0.25">
      <c r="A319" t="s">
        <v>331</v>
      </c>
      <c r="B319" s="2">
        <v>45244</v>
      </c>
      <c r="C319" s="2">
        <v>45260</v>
      </c>
      <c r="D319" t="s">
        <v>648</v>
      </c>
      <c r="E319" t="s">
        <v>655</v>
      </c>
      <c r="F319" t="s">
        <v>670</v>
      </c>
      <c r="G319" t="s">
        <v>706</v>
      </c>
      <c r="H319" t="s">
        <v>711</v>
      </c>
      <c r="I319" t="s">
        <v>723</v>
      </c>
      <c r="J319" t="s">
        <v>729</v>
      </c>
      <c r="K319" t="s">
        <v>1051</v>
      </c>
      <c r="L319">
        <v>1017.92</v>
      </c>
      <c r="M319">
        <v>1175.25</v>
      </c>
      <c r="N319">
        <v>7.4999999999999997E-2</v>
      </c>
      <c r="O319">
        <v>15</v>
      </c>
    </row>
    <row r="320" spans="1:15" x14ac:dyDescent="0.25">
      <c r="A320" t="s">
        <v>332</v>
      </c>
      <c r="B320" s="2">
        <v>45748</v>
      </c>
      <c r="C320" s="2">
        <v>45774</v>
      </c>
      <c r="D320" t="s">
        <v>648</v>
      </c>
      <c r="E320" t="s">
        <v>660</v>
      </c>
      <c r="F320" t="s">
        <v>686</v>
      </c>
      <c r="G320" t="s">
        <v>701</v>
      </c>
      <c r="H320" t="s">
        <v>711</v>
      </c>
      <c r="I320" t="s">
        <v>714</v>
      </c>
      <c r="J320" t="s">
        <v>732</v>
      </c>
      <c r="K320" t="s">
        <v>1052</v>
      </c>
      <c r="L320">
        <v>156.55000000000001</v>
      </c>
      <c r="M320">
        <v>227.45</v>
      </c>
      <c r="N320">
        <v>1.4E-2</v>
      </c>
      <c r="O320">
        <v>13</v>
      </c>
    </row>
    <row r="321" spans="1:15" x14ac:dyDescent="0.25">
      <c r="A321" t="s">
        <v>333</v>
      </c>
      <c r="B321" s="2">
        <v>45008</v>
      </c>
      <c r="C321" s="2">
        <v>45031</v>
      </c>
      <c r="D321" t="s">
        <v>646</v>
      </c>
      <c r="E321" t="s">
        <v>650</v>
      </c>
      <c r="F321" t="s">
        <v>675</v>
      </c>
      <c r="G321" t="s">
        <v>705</v>
      </c>
      <c r="H321" t="s">
        <v>707</v>
      </c>
      <c r="I321" t="s">
        <v>712</v>
      </c>
      <c r="J321" t="s">
        <v>733</v>
      </c>
      <c r="K321" t="s">
        <v>1053</v>
      </c>
      <c r="L321">
        <v>875.36</v>
      </c>
      <c r="M321">
        <v>1178.6199999999999</v>
      </c>
      <c r="N321">
        <v>0.151</v>
      </c>
      <c r="O321">
        <v>53</v>
      </c>
    </row>
    <row r="322" spans="1:15" x14ac:dyDescent="0.25">
      <c r="A322" t="s">
        <v>334</v>
      </c>
      <c r="B322" s="2">
        <v>45440</v>
      </c>
      <c r="C322" s="2">
        <v>45461</v>
      </c>
      <c r="D322" t="s">
        <v>649</v>
      </c>
      <c r="E322" t="s">
        <v>656</v>
      </c>
      <c r="F322" t="s">
        <v>698</v>
      </c>
      <c r="G322" t="s">
        <v>705</v>
      </c>
      <c r="H322" t="s">
        <v>708</v>
      </c>
      <c r="I322" t="s">
        <v>718</v>
      </c>
      <c r="J322" t="s">
        <v>730</v>
      </c>
      <c r="K322" t="s">
        <v>1054</v>
      </c>
      <c r="L322">
        <v>986.85</v>
      </c>
      <c r="M322">
        <v>2422.1</v>
      </c>
      <c r="N322">
        <v>7.5999999999999998E-2</v>
      </c>
      <c r="O322">
        <v>10</v>
      </c>
    </row>
    <row r="323" spans="1:15" x14ac:dyDescent="0.25">
      <c r="A323" t="s">
        <v>335</v>
      </c>
      <c r="B323" s="2">
        <v>45293</v>
      </c>
      <c r="C323" s="2">
        <v>45292</v>
      </c>
      <c r="D323" t="s">
        <v>648</v>
      </c>
      <c r="E323" t="s">
        <v>660</v>
      </c>
      <c r="F323" t="s">
        <v>677</v>
      </c>
      <c r="G323" t="s">
        <v>702</v>
      </c>
      <c r="H323" t="s">
        <v>709</v>
      </c>
      <c r="I323" t="s">
        <v>717</v>
      </c>
      <c r="J323" t="s">
        <v>729</v>
      </c>
      <c r="K323" t="s">
        <v>1055</v>
      </c>
      <c r="L323">
        <v>404.77</v>
      </c>
      <c r="M323">
        <v>433.88</v>
      </c>
      <c r="N323">
        <v>0.215</v>
      </c>
      <c r="O323">
        <v>22</v>
      </c>
    </row>
    <row r="324" spans="1:15" x14ac:dyDescent="0.25">
      <c r="A324" t="s">
        <v>336</v>
      </c>
      <c r="B324" s="2">
        <v>44985</v>
      </c>
      <c r="C324" s="2">
        <v>44984</v>
      </c>
      <c r="D324" t="s">
        <v>649</v>
      </c>
      <c r="E324" t="s">
        <v>657</v>
      </c>
      <c r="F324" t="s">
        <v>673</v>
      </c>
      <c r="G324" t="s">
        <v>701</v>
      </c>
      <c r="H324" t="s">
        <v>707</v>
      </c>
      <c r="I324" t="s">
        <v>723</v>
      </c>
      <c r="J324" t="s">
        <v>729</v>
      </c>
      <c r="K324" t="s">
        <v>1056</v>
      </c>
      <c r="L324">
        <v>1299.81</v>
      </c>
      <c r="M324">
        <v>3149.13</v>
      </c>
      <c r="N324">
        <v>0.10299999999999999</v>
      </c>
      <c r="O324">
        <v>14</v>
      </c>
    </row>
    <row r="325" spans="1:15" x14ac:dyDescent="0.25">
      <c r="A325" t="s">
        <v>337</v>
      </c>
      <c r="B325" s="2">
        <v>45340</v>
      </c>
      <c r="C325" s="2">
        <v>45362</v>
      </c>
      <c r="D325" t="s">
        <v>648</v>
      </c>
      <c r="E325" t="s">
        <v>655</v>
      </c>
      <c r="F325" t="s">
        <v>670</v>
      </c>
      <c r="G325" t="s">
        <v>704</v>
      </c>
      <c r="H325" t="s">
        <v>708</v>
      </c>
      <c r="I325" t="s">
        <v>720</v>
      </c>
      <c r="J325" t="s">
        <v>727</v>
      </c>
      <c r="K325" t="s">
        <v>1057</v>
      </c>
      <c r="L325">
        <v>80.48</v>
      </c>
      <c r="M325">
        <v>65.650000000000006</v>
      </c>
      <c r="N325">
        <v>0.17599999999999999</v>
      </c>
      <c r="O325">
        <v>13</v>
      </c>
    </row>
    <row r="326" spans="1:15" x14ac:dyDescent="0.25">
      <c r="A326" t="s">
        <v>338</v>
      </c>
      <c r="B326" s="2">
        <v>45544</v>
      </c>
      <c r="C326" s="2">
        <v>45573</v>
      </c>
      <c r="D326" t="s">
        <v>648</v>
      </c>
      <c r="E326" t="s">
        <v>655</v>
      </c>
      <c r="F326" t="s">
        <v>670</v>
      </c>
      <c r="G326" t="s">
        <v>702</v>
      </c>
      <c r="H326" t="s">
        <v>711</v>
      </c>
      <c r="I326" t="s">
        <v>713</v>
      </c>
      <c r="J326" t="s">
        <v>727</v>
      </c>
      <c r="K326" t="s">
        <v>1058</v>
      </c>
      <c r="L326">
        <v>1010.33</v>
      </c>
      <c r="M326">
        <v>2492.14</v>
      </c>
      <c r="N326">
        <v>5.0999999999999997E-2</v>
      </c>
      <c r="O326">
        <v>11</v>
      </c>
    </row>
    <row r="327" spans="1:15" x14ac:dyDescent="0.25">
      <c r="A327" t="s">
        <v>339</v>
      </c>
      <c r="B327" s="2">
        <v>45053</v>
      </c>
      <c r="C327" s="2">
        <v>45075</v>
      </c>
      <c r="D327" t="s">
        <v>646</v>
      </c>
      <c r="E327" t="s">
        <v>661</v>
      </c>
      <c r="F327" t="s">
        <v>687</v>
      </c>
      <c r="G327" t="s">
        <v>702</v>
      </c>
      <c r="H327" t="s">
        <v>710</v>
      </c>
      <c r="I327" t="s">
        <v>723</v>
      </c>
      <c r="J327" t="s">
        <v>733</v>
      </c>
      <c r="K327" t="s">
        <v>1059</v>
      </c>
      <c r="L327">
        <v>653.86</v>
      </c>
      <c r="M327">
        <v>931.84</v>
      </c>
      <c r="N327">
        <v>0.121</v>
      </c>
      <c r="O327">
        <v>12</v>
      </c>
    </row>
    <row r="328" spans="1:15" x14ac:dyDescent="0.25">
      <c r="A328" t="s">
        <v>340</v>
      </c>
      <c r="B328" s="2">
        <v>45303</v>
      </c>
      <c r="C328" s="2">
        <v>45320</v>
      </c>
      <c r="D328" t="s">
        <v>647</v>
      </c>
      <c r="E328" t="s">
        <v>654</v>
      </c>
      <c r="F328" t="s">
        <v>696</v>
      </c>
      <c r="G328" t="s">
        <v>705</v>
      </c>
      <c r="H328" t="s">
        <v>711</v>
      </c>
      <c r="I328" t="s">
        <v>717</v>
      </c>
      <c r="J328" t="s">
        <v>727</v>
      </c>
      <c r="K328" t="s">
        <v>1060</v>
      </c>
      <c r="L328">
        <v>310.02</v>
      </c>
      <c r="M328">
        <v>619.51</v>
      </c>
      <c r="N328">
        <v>4.2000000000000003E-2</v>
      </c>
      <c r="O328">
        <v>4</v>
      </c>
    </row>
    <row r="329" spans="1:15" x14ac:dyDescent="0.25">
      <c r="A329" t="s">
        <v>341</v>
      </c>
      <c r="B329" s="2">
        <v>45087</v>
      </c>
      <c r="C329" s="2">
        <v>45095</v>
      </c>
      <c r="D329" t="s">
        <v>646</v>
      </c>
      <c r="E329" t="s">
        <v>650</v>
      </c>
      <c r="F329" t="s">
        <v>678</v>
      </c>
      <c r="G329" t="s">
        <v>706</v>
      </c>
      <c r="H329" t="s">
        <v>711</v>
      </c>
      <c r="I329" t="s">
        <v>722</v>
      </c>
      <c r="J329" t="s">
        <v>730</v>
      </c>
      <c r="K329" t="s">
        <v>1061</v>
      </c>
      <c r="L329">
        <v>894.23</v>
      </c>
      <c r="M329">
        <v>1421.55</v>
      </c>
      <c r="N329">
        <v>0.109</v>
      </c>
      <c r="O329">
        <v>3</v>
      </c>
    </row>
    <row r="330" spans="1:15" x14ac:dyDescent="0.25">
      <c r="A330" t="s">
        <v>342</v>
      </c>
      <c r="B330" s="2">
        <v>45796</v>
      </c>
      <c r="C330" s="2">
        <v>45794</v>
      </c>
      <c r="D330" t="s">
        <v>648</v>
      </c>
      <c r="E330" t="s">
        <v>655</v>
      </c>
      <c r="F330" t="s">
        <v>670</v>
      </c>
      <c r="G330" t="s">
        <v>705</v>
      </c>
      <c r="H330" t="s">
        <v>710</v>
      </c>
      <c r="I330" t="s">
        <v>716</v>
      </c>
      <c r="J330" t="s">
        <v>732</v>
      </c>
      <c r="K330" t="s">
        <v>1062</v>
      </c>
      <c r="L330">
        <v>383.77</v>
      </c>
      <c r="M330">
        <v>952.56</v>
      </c>
      <c r="N330">
        <v>0.34599999999999997</v>
      </c>
      <c r="O330">
        <v>10</v>
      </c>
    </row>
    <row r="331" spans="1:15" x14ac:dyDescent="0.25">
      <c r="A331" t="s">
        <v>343</v>
      </c>
      <c r="B331" s="2">
        <v>45221</v>
      </c>
      <c r="C331" s="2">
        <v>45246</v>
      </c>
      <c r="D331" t="s">
        <v>648</v>
      </c>
      <c r="E331" t="s">
        <v>653</v>
      </c>
      <c r="F331" t="s">
        <v>667</v>
      </c>
      <c r="G331" t="s">
        <v>705</v>
      </c>
      <c r="H331" t="s">
        <v>709</v>
      </c>
      <c r="I331" t="s">
        <v>714</v>
      </c>
      <c r="J331" t="s">
        <v>731</v>
      </c>
      <c r="K331" t="s">
        <v>1063</v>
      </c>
      <c r="L331">
        <v>1373.31</v>
      </c>
      <c r="M331">
        <v>3154.14</v>
      </c>
      <c r="N331">
        <v>0.2</v>
      </c>
      <c r="O331">
        <v>11</v>
      </c>
    </row>
    <row r="332" spans="1:15" x14ac:dyDescent="0.25">
      <c r="A332" t="s">
        <v>344</v>
      </c>
      <c r="B332" s="2">
        <v>45668</v>
      </c>
      <c r="C332" s="2">
        <v>45680</v>
      </c>
      <c r="D332" t="s">
        <v>648</v>
      </c>
      <c r="E332" t="s">
        <v>660</v>
      </c>
      <c r="F332" t="s">
        <v>697</v>
      </c>
      <c r="G332" t="s">
        <v>704</v>
      </c>
      <c r="H332" t="s">
        <v>710</v>
      </c>
      <c r="I332" t="s">
        <v>722</v>
      </c>
      <c r="J332" t="s">
        <v>730</v>
      </c>
      <c r="K332" t="s">
        <v>1064</v>
      </c>
      <c r="L332">
        <v>100.69</v>
      </c>
      <c r="M332">
        <v>226.14</v>
      </c>
      <c r="N332">
        <v>6.5000000000000002E-2</v>
      </c>
      <c r="O332">
        <v>12</v>
      </c>
    </row>
    <row r="333" spans="1:15" x14ac:dyDescent="0.25">
      <c r="A333" t="s">
        <v>345</v>
      </c>
      <c r="B333" s="2">
        <v>45914</v>
      </c>
      <c r="C333" s="2">
        <v>45926</v>
      </c>
      <c r="D333" t="s">
        <v>649</v>
      </c>
      <c r="E333" t="s">
        <v>658</v>
      </c>
      <c r="F333" t="s">
        <v>683</v>
      </c>
      <c r="G333" t="s">
        <v>705</v>
      </c>
      <c r="H333" t="s">
        <v>711</v>
      </c>
      <c r="I333" t="s">
        <v>725</v>
      </c>
      <c r="J333" t="s">
        <v>729</v>
      </c>
      <c r="K333" t="s">
        <v>1065</v>
      </c>
      <c r="L333">
        <v>425.15</v>
      </c>
      <c r="M333">
        <v>885.92</v>
      </c>
      <c r="N333">
        <v>0.23899999999999999</v>
      </c>
      <c r="O333">
        <v>13</v>
      </c>
    </row>
    <row r="334" spans="1:15" x14ac:dyDescent="0.25">
      <c r="A334" t="s">
        <v>346</v>
      </c>
      <c r="B334" s="2">
        <v>45168</v>
      </c>
      <c r="C334" s="2">
        <v>45172</v>
      </c>
      <c r="D334" t="s">
        <v>647</v>
      </c>
      <c r="E334" t="s">
        <v>654</v>
      </c>
      <c r="F334" t="s">
        <v>680</v>
      </c>
      <c r="G334" t="s">
        <v>705</v>
      </c>
      <c r="H334" t="s">
        <v>709</v>
      </c>
      <c r="I334" t="s">
        <v>716</v>
      </c>
      <c r="J334" t="s">
        <v>733</v>
      </c>
      <c r="K334" t="s">
        <v>1066</v>
      </c>
      <c r="L334">
        <v>1082.25</v>
      </c>
      <c r="M334">
        <v>2433.34</v>
      </c>
      <c r="N334">
        <v>0.27</v>
      </c>
      <c r="O334">
        <v>4</v>
      </c>
    </row>
    <row r="335" spans="1:15" x14ac:dyDescent="0.25">
      <c r="A335" t="s">
        <v>347</v>
      </c>
      <c r="B335" s="2">
        <v>45245</v>
      </c>
      <c r="C335" s="2">
        <v>45266</v>
      </c>
      <c r="D335" t="s">
        <v>649</v>
      </c>
      <c r="E335" t="s">
        <v>658</v>
      </c>
      <c r="F335" t="s">
        <v>693</v>
      </c>
      <c r="G335" t="s">
        <v>702</v>
      </c>
      <c r="H335" t="s">
        <v>711</v>
      </c>
      <c r="I335" t="s">
        <v>722</v>
      </c>
      <c r="J335" t="s">
        <v>733</v>
      </c>
      <c r="K335" t="s">
        <v>1067</v>
      </c>
      <c r="L335">
        <v>1184.99</v>
      </c>
      <c r="M335">
        <v>1154.3399999999999</v>
      </c>
      <c r="N335">
        <v>2.8000000000000001E-2</v>
      </c>
      <c r="O335">
        <v>5</v>
      </c>
    </row>
    <row r="336" spans="1:15" x14ac:dyDescent="0.25">
      <c r="A336" t="s">
        <v>348</v>
      </c>
      <c r="B336" s="2">
        <v>45774</v>
      </c>
      <c r="C336" s="2">
        <v>45804</v>
      </c>
      <c r="D336" t="s">
        <v>647</v>
      </c>
      <c r="E336" t="s">
        <v>654</v>
      </c>
      <c r="G336" t="s">
        <v>706</v>
      </c>
      <c r="H336" t="s">
        <v>709</v>
      </c>
      <c r="I336" t="s">
        <v>722</v>
      </c>
      <c r="J336" t="s">
        <v>730</v>
      </c>
      <c r="K336" t="s">
        <v>1068</v>
      </c>
      <c r="L336">
        <v>481.32</v>
      </c>
      <c r="M336">
        <v>1135.99</v>
      </c>
      <c r="N336">
        <v>0.14499999999999999</v>
      </c>
      <c r="O336">
        <v>5</v>
      </c>
    </row>
    <row r="337" spans="1:15" x14ac:dyDescent="0.25">
      <c r="A337" t="s">
        <v>349</v>
      </c>
      <c r="B337" s="2">
        <v>45391</v>
      </c>
      <c r="C337" s="2">
        <v>45400</v>
      </c>
      <c r="D337" t="s">
        <v>649</v>
      </c>
      <c r="E337" t="s">
        <v>657</v>
      </c>
      <c r="F337" t="s">
        <v>679</v>
      </c>
      <c r="G337" t="s">
        <v>704</v>
      </c>
      <c r="H337" t="s">
        <v>708</v>
      </c>
      <c r="I337" t="s">
        <v>718</v>
      </c>
      <c r="J337" t="s">
        <v>728</v>
      </c>
      <c r="K337" t="s">
        <v>1069</v>
      </c>
      <c r="L337">
        <v>1288.8499999999999</v>
      </c>
      <c r="M337">
        <v>2751.84</v>
      </c>
      <c r="N337">
        <v>0.158</v>
      </c>
      <c r="O337">
        <v>7</v>
      </c>
    </row>
    <row r="338" spans="1:15" x14ac:dyDescent="0.25">
      <c r="A338" t="s">
        <v>350</v>
      </c>
      <c r="B338" s="2">
        <v>45484</v>
      </c>
      <c r="C338" s="2">
        <v>45504</v>
      </c>
      <c r="D338" t="s">
        <v>647</v>
      </c>
      <c r="E338" t="s">
        <v>659</v>
      </c>
      <c r="F338" t="s">
        <v>676</v>
      </c>
      <c r="G338" t="s">
        <v>704</v>
      </c>
      <c r="H338" t="s">
        <v>708</v>
      </c>
      <c r="I338" t="s">
        <v>715</v>
      </c>
      <c r="J338" t="s">
        <v>730</v>
      </c>
      <c r="K338" t="s">
        <v>1070</v>
      </c>
      <c r="L338">
        <v>647.26</v>
      </c>
      <c r="M338">
        <v>1374.72</v>
      </c>
      <c r="N338">
        <v>6.6000000000000003E-2</v>
      </c>
      <c r="O338">
        <v>22</v>
      </c>
    </row>
    <row r="339" spans="1:15" x14ac:dyDescent="0.25">
      <c r="A339" t="s">
        <v>351</v>
      </c>
      <c r="B339" s="2">
        <v>45340</v>
      </c>
      <c r="C339" s="2">
        <v>45354</v>
      </c>
      <c r="D339" t="s">
        <v>648</v>
      </c>
      <c r="E339" t="s">
        <v>655</v>
      </c>
      <c r="G339" t="s">
        <v>706</v>
      </c>
      <c r="H339" t="s">
        <v>710</v>
      </c>
      <c r="I339" t="s">
        <v>720</v>
      </c>
      <c r="J339" t="s">
        <v>728</v>
      </c>
      <c r="K339" t="s">
        <v>1071</v>
      </c>
      <c r="L339">
        <v>624.23</v>
      </c>
      <c r="M339">
        <v>1318.37</v>
      </c>
      <c r="N339">
        <v>0.21</v>
      </c>
      <c r="O339">
        <v>37</v>
      </c>
    </row>
    <row r="340" spans="1:15" x14ac:dyDescent="0.25">
      <c r="A340" t="s">
        <v>352</v>
      </c>
      <c r="B340" s="2">
        <v>45132</v>
      </c>
      <c r="C340" s="2">
        <v>45148</v>
      </c>
      <c r="D340" t="s">
        <v>646</v>
      </c>
      <c r="E340" t="s">
        <v>651</v>
      </c>
      <c r="F340" t="s">
        <v>663</v>
      </c>
      <c r="G340" t="s">
        <v>701</v>
      </c>
      <c r="H340" t="s">
        <v>710</v>
      </c>
      <c r="I340" t="s">
        <v>714</v>
      </c>
      <c r="J340" t="s">
        <v>733</v>
      </c>
      <c r="K340" t="s">
        <v>1072</v>
      </c>
      <c r="L340">
        <v>506.83</v>
      </c>
      <c r="M340">
        <v>441.74</v>
      </c>
      <c r="N340">
        <v>0.24</v>
      </c>
      <c r="O340">
        <v>9</v>
      </c>
    </row>
    <row r="341" spans="1:15" x14ac:dyDescent="0.25">
      <c r="A341" t="s">
        <v>353</v>
      </c>
      <c r="B341" s="2">
        <v>45121</v>
      </c>
      <c r="C341" s="2">
        <v>45128</v>
      </c>
      <c r="D341" t="s">
        <v>646</v>
      </c>
      <c r="E341" t="s">
        <v>661</v>
      </c>
      <c r="F341" t="s">
        <v>687</v>
      </c>
      <c r="G341" t="s">
        <v>706</v>
      </c>
      <c r="H341" t="s">
        <v>709</v>
      </c>
      <c r="J341" t="s">
        <v>732</v>
      </c>
      <c r="K341" t="s">
        <v>1073</v>
      </c>
      <c r="L341">
        <v>620.74</v>
      </c>
      <c r="M341">
        <v>1330.07</v>
      </c>
      <c r="N341">
        <v>0.29899999999999999</v>
      </c>
      <c r="O341">
        <v>28</v>
      </c>
    </row>
    <row r="342" spans="1:15" x14ac:dyDescent="0.25">
      <c r="A342" t="s">
        <v>354</v>
      </c>
      <c r="B342" s="2">
        <v>45131</v>
      </c>
      <c r="C342" s="2">
        <v>45157</v>
      </c>
      <c r="D342" t="s">
        <v>646</v>
      </c>
      <c r="E342" t="s">
        <v>650</v>
      </c>
      <c r="F342" t="s">
        <v>664</v>
      </c>
      <c r="G342" t="s">
        <v>706</v>
      </c>
      <c r="H342" t="s">
        <v>710</v>
      </c>
      <c r="I342" t="s">
        <v>724</v>
      </c>
      <c r="J342" t="s">
        <v>733</v>
      </c>
      <c r="K342" t="s">
        <v>1074</v>
      </c>
      <c r="L342">
        <v>661.45</v>
      </c>
      <c r="M342">
        <v>1634.86</v>
      </c>
      <c r="N342">
        <v>0.56499999999999995</v>
      </c>
      <c r="O342">
        <v>24</v>
      </c>
    </row>
    <row r="343" spans="1:15" x14ac:dyDescent="0.25">
      <c r="A343" t="s">
        <v>355</v>
      </c>
      <c r="B343" s="2">
        <v>45029</v>
      </c>
      <c r="C343" s="2">
        <v>45027</v>
      </c>
      <c r="D343" t="s">
        <v>648</v>
      </c>
      <c r="E343" t="s">
        <v>660</v>
      </c>
      <c r="F343" t="s">
        <v>686</v>
      </c>
      <c r="G343" t="s">
        <v>702</v>
      </c>
      <c r="H343" t="s">
        <v>709</v>
      </c>
      <c r="I343" t="s">
        <v>715</v>
      </c>
      <c r="J343" t="s">
        <v>729</v>
      </c>
      <c r="K343" t="s">
        <v>1075</v>
      </c>
      <c r="L343">
        <v>32.1</v>
      </c>
      <c r="M343">
        <v>70.599999999999994</v>
      </c>
      <c r="N343">
        <v>0.28199999999999997</v>
      </c>
      <c r="O343">
        <v>22</v>
      </c>
    </row>
    <row r="344" spans="1:15" x14ac:dyDescent="0.25">
      <c r="A344" t="s">
        <v>356</v>
      </c>
      <c r="B344" s="2">
        <v>45594</v>
      </c>
      <c r="C344" s="2">
        <v>45600</v>
      </c>
      <c r="D344" t="s">
        <v>646</v>
      </c>
      <c r="E344" t="s">
        <v>650</v>
      </c>
      <c r="F344" t="s">
        <v>664</v>
      </c>
      <c r="G344" t="s">
        <v>701</v>
      </c>
      <c r="H344" t="s">
        <v>710</v>
      </c>
      <c r="I344" t="s">
        <v>724</v>
      </c>
      <c r="J344" t="s">
        <v>728</v>
      </c>
      <c r="K344" t="s">
        <v>1076</v>
      </c>
      <c r="L344">
        <v>805.81</v>
      </c>
      <c r="M344">
        <v>1823.04</v>
      </c>
      <c r="N344">
        <v>0</v>
      </c>
      <c r="O344">
        <v>11</v>
      </c>
    </row>
    <row r="345" spans="1:15" x14ac:dyDescent="0.25">
      <c r="A345" t="s">
        <v>357</v>
      </c>
      <c r="B345" s="2">
        <v>45339</v>
      </c>
      <c r="C345" s="2">
        <v>45355</v>
      </c>
      <c r="D345" t="s">
        <v>647</v>
      </c>
      <c r="E345" t="s">
        <v>654</v>
      </c>
      <c r="F345" t="s">
        <v>680</v>
      </c>
      <c r="G345" t="s">
        <v>705</v>
      </c>
      <c r="H345" t="s">
        <v>709</v>
      </c>
      <c r="I345" t="s">
        <v>721</v>
      </c>
      <c r="J345" t="s">
        <v>730</v>
      </c>
      <c r="K345" t="s">
        <v>1077</v>
      </c>
      <c r="L345">
        <v>1231.8</v>
      </c>
      <c r="M345">
        <v>2015.99</v>
      </c>
      <c r="N345">
        <v>0.26100000000000001</v>
      </c>
      <c r="O345">
        <v>6</v>
      </c>
    </row>
    <row r="346" spans="1:15" x14ac:dyDescent="0.25">
      <c r="A346" t="s">
        <v>358</v>
      </c>
      <c r="B346" s="2">
        <v>45486</v>
      </c>
      <c r="C346" s="2">
        <v>45485</v>
      </c>
      <c r="D346" t="s">
        <v>647</v>
      </c>
      <c r="E346" t="s">
        <v>652</v>
      </c>
      <c r="F346" t="s">
        <v>694</v>
      </c>
      <c r="G346" t="s">
        <v>705</v>
      </c>
      <c r="H346" t="s">
        <v>709</v>
      </c>
      <c r="I346" t="s">
        <v>721</v>
      </c>
      <c r="J346" t="s">
        <v>729</v>
      </c>
      <c r="K346" t="s">
        <v>1078</v>
      </c>
      <c r="L346">
        <v>105.13</v>
      </c>
      <c r="M346">
        <v>244.13</v>
      </c>
      <c r="N346">
        <v>7.0999999999999994E-2</v>
      </c>
      <c r="O346">
        <v>14</v>
      </c>
    </row>
    <row r="347" spans="1:15" x14ac:dyDescent="0.25">
      <c r="A347" t="s">
        <v>359</v>
      </c>
      <c r="B347" s="2">
        <v>45261</v>
      </c>
      <c r="C347" s="2">
        <v>45278</v>
      </c>
      <c r="D347" t="s">
        <v>647</v>
      </c>
      <c r="E347" t="s">
        <v>652</v>
      </c>
      <c r="F347" t="s">
        <v>694</v>
      </c>
      <c r="G347" t="s">
        <v>705</v>
      </c>
      <c r="H347" t="s">
        <v>711</v>
      </c>
      <c r="I347" t="s">
        <v>725</v>
      </c>
      <c r="J347" t="s">
        <v>731</v>
      </c>
      <c r="K347" t="s">
        <v>1079</v>
      </c>
      <c r="L347">
        <v>1495.79</v>
      </c>
      <c r="M347">
        <v>2783.12</v>
      </c>
      <c r="N347">
        <v>0.02</v>
      </c>
      <c r="O347">
        <v>5</v>
      </c>
    </row>
    <row r="348" spans="1:15" x14ac:dyDescent="0.25">
      <c r="A348" t="s">
        <v>360</v>
      </c>
      <c r="B348" s="2">
        <v>45498</v>
      </c>
      <c r="C348" s="2">
        <v>45506</v>
      </c>
      <c r="D348" t="s">
        <v>648</v>
      </c>
      <c r="E348" t="s">
        <v>653</v>
      </c>
      <c r="F348" t="s">
        <v>681</v>
      </c>
      <c r="G348" t="s">
        <v>704</v>
      </c>
      <c r="H348" t="s">
        <v>711</v>
      </c>
      <c r="I348" t="s">
        <v>713</v>
      </c>
      <c r="J348" t="s">
        <v>733</v>
      </c>
      <c r="K348" t="s">
        <v>1080</v>
      </c>
      <c r="L348">
        <v>986.81</v>
      </c>
      <c r="M348">
        <v>2050.31</v>
      </c>
      <c r="N348">
        <v>0.10299999999999999</v>
      </c>
      <c r="O348">
        <v>43</v>
      </c>
    </row>
    <row r="349" spans="1:15" x14ac:dyDescent="0.25">
      <c r="A349" t="s">
        <v>361</v>
      </c>
      <c r="B349" s="2">
        <v>45050</v>
      </c>
      <c r="C349" s="2">
        <v>45062</v>
      </c>
      <c r="D349" t="s">
        <v>646</v>
      </c>
      <c r="E349" t="s">
        <v>651</v>
      </c>
      <c r="F349" t="s">
        <v>669</v>
      </c>
      <c r="G349" t="s">
        <v>705</v>
      </c>
      <c r="H349" t="s">
        <v>709</v>
      </c>
      <c r="I349" t="s">
        <v>713</v>
      </c>
      <c r="J349" t="s">
        <v>730</v>
      </c>
      <c r="K349" t="s">
        <v>1081</v>
      </c>
      <c r="L349">
        <v>77.739999999999995</v>
      </c>
      <c r="M349">
        <v>147.12</v>
      </c>
      <c r="N349">
        <v>0</v>
      </c>
      <c r="O349">
        <v>15</v>
      </c>
    </row>
    <row r="350" spans="1:15" x14ac:dyDescent="0.25">
      <c r="A350" t="s">
        <v>362</v>
      </c>
      <c r="B350" s="2">
        <v>45281</v>
      </c>
      <c r="C350" s="2">
        <v>45297</v>
      </c>
      <c r="D350" t="s">
        <v>646</v>
      </c>
      <c r="E350" t="s">
        <v>651</v>
      </c>
      <c r="G350" t="s">
        <v>701</v>
      </c>
      <c r="H350" t="s">
        <v>709</v>
      </c>
      <c r="I350" t="s">
        <v>723</v>
      </c>
      <c r="J350" t="s">
        <v>727</v>
      </c>
      <c r="K350" t="s">
        <v>1082</v>
      </c>
      <c r="L350">
        <v>932.61</v>
      </c>
      <c r="M350">
        <v>1982.98</v>
      </c>
      <c r="N350">
        <v>0.14399999999999999</v>
      </c>
      <c r="O350">
        <v>16</v>
      </c>
    </row>
    <row r="351" spans="1:15" x14ac:dyDescent="0.25">
      <c r="A351" t="s">
        <v>363</v>
      </c>
      <c r="B351" s="2">
        <v>45825</v>
      </c>
      <c r="C351" s="2">
        <v>45843</v>
      </c>
      <c r="D351" t="s">
        <v>647</v>
      </c>
      <c r="E351" t="s">
        <v>654</v>
      </c>
      <c r="F351" t="s">
        <v>680</v>
      </c>
      <c r="G351" t="s">
        <v>704</v>
      </c>
      <c r="H351" t="s">
        <v>709</v>
      </c>
      <c r="I351" t="s">
        <v>716</v>
      </c>
      <c r="J351" t="s">
        <v>731</v>
      </c>
      <c r="K351" t="s">
        <v>1083</v>
      </c>
      <c r="L351">
        <v>982.93</v>
      </c>
      <c r="M351">
        <v>2299.3000000000002</v>
      </c>
      <c r="N351">
        <v>0.113</v>
      </c>
      <c r="O351">
        <v>6</v>
      </c>
    </row>
    <row r="352" spans="1:15" x14ac:dyDescent="0.25">
      <c r="A352" t="s">
        <v>364</v>
      </c>
      <c r="B352" s="2">
        <v>44980</v>
      </c>
      <c r="C352" s="2">
        <v>44993</v>
      </c>
      <c r="D352" t="s">
        <v>649</v>
      </c>
      <c r="E352" t="s">
        <v>658</v>
      </c>
      <c r="F352" t="s">
        <v>693</v>
      </c>
      <c r="G352" t="s">
        <v>705</v>
      </c>
      <c r="H352" t="s">
        <v>711</v>
      </c>
      <c r="I352" t="s">
        <v>712</v>
      </c>
      <c r="J352" t="s">
        <v>728</v>
      </c>
      <c r="K352" t="s">
        <v>1084</v>
      </c>
      <c r="L352">
        <v>307.37</v>
      </c>
      <c r="M352">
        <v>462.61</v>
      </c>
      <c r="N352">
        <v>0.188</v>
      </c>
      <c r="O352">
        <v>11</v>
      </c>
    </row>
    <row r="353" spans="1:15" x14ac:dyDescent="0.25">
      <c r="A353" t="s">
        <v>365</v>
      </c>
      <c r="B353" s="2">
        <v>45262</v>
      </c>
      <c r="C353" s="2">
        <v>45276</v>
      </c>
      <c r="D353" t="s">
        <v>649</v>
      </c>
      <c r="E353" t="s">
        <v>656</v>
      </c>
      <c r="F353" t="s">
        <v>698</v>
      </c>
      <c r="G353" t="s">
        <v>702</v>
      </c>
      <c r="H353" t="s">
        <v>711</v>
      </c>
      <c r="I353" t="s">
        <v>725</v>
      </c>
      <c r="J353" t="s">
        <v>732</v>
      </c>
      <c r="K353" t="s">
        <v>1085</v>
      </c>
      <c r="L353">
        <v>879.08</v>
      </c>
      <c r="M353">
        <v>1093.3900000000001</v>
      </c>
      <c r="N353">
        <v>0.113</v>
      </c>
      <c r="O353">
        <v>17</v>
      </c>
    </row>
    <row r="354" spans="1:15" x14ac:dyDescent="0.25">
      <c r="A354" t="s">
        <v>366</v>
      </c>
      <c r="B354" s="2">
        <v>45121</v>
      </c>
      <c r="C354" s="2">
        <v>45121</v>
      </c>
      <c r="D354" t="s">
        <v>646</v>
      </c>
      <c r="E354" t="s">
        <v>651</v>
      </c>
      <c r="F354" t="s">
        <v>665</v>
      </c>
      <c r="G354" t="s">
        <v>702</v>
      </c>
      <c r="H354" t="s">
        <v>707</v>
      </c>
      <c r="I354" t="s">
        <v>714</v>
      </c>
      <c r="J354" t="s">
        <v>733</v>
      </c>
      <c r="K354" t="s">
        <v>1086</v>
      </c>
      <c r="L354">
        <v>956.38</v>
      </c>
      <c r="M354">
        <v>1454.22</v>
      </c>
      <c r="N354">
        <v>3.9E-2</v>
      </c>
      <c r="O354">
        <v>19</v>
      </c>
    </row>
    <row r="355" spans="1:15" x14ac:dyDescent="0.25">
      <c r="A355" t="s">
        <v>367</v>
      </c>
      <c r="B355" s="2">
        <v>45512</v>
      </c>
      <c r="C355" s="2">
        <v>45524</v>
      </c>
      <c r="D355" t="s">
        <v>647</v>
      </c>
      <c r="E355" t="s">
        <v>652</v>
      </c>
      <c r="F355" t="s">
        <v>666</v>
      </c>
      <c r="G355" t="s">
        <v>705</v>
      </c>
      <c r="H355" t="s">
        <v>707</v>
      </c>
      <c r="I355" t="s">
        <v>722</v>
      </c>
      <c r="J355" t="s">
        <v>729</v>
      </c>
      <c r="K355" t="s">
        <v>1087</v>
      </c>
      <c r="L355">
        <v>1233.3599999999999</v>
      </c>
      <c r="M355">
        <v>2120.4</v>
      </c>
      <c r="N355">
        <v>0.17899999999999999</v>
      </c>
      <c r="O355">
        <v>20</v>
      </c>
    </row>
    <row r="356" spans="1:15" x14ac:dyDescent="0.25">
      <c r="A356" t="s">
        <v>368</v>
      </c>
      <c r="B356" s="2">
        <v>45603</v>
      </c>
      <c r="C356" s="2">
        <v>45622</v>
      </c>
      <c r="D356" t="s">
        <v>648</v>
      </c>
      <c r="E356" t="s">
        <v>655</v>
      </c>
      <c r="F356" t="s">
        <v>692</v>
      </c>
      <c r="G356" t="s">
        <v>703</v>
      </c>
      <c r="H356" t="s">
        <v>710</v>
      </c>
      <c r="I356" t="s">
        <v>713</v>
      </c>
      <c r="J356" t="s">
        <v>728</v>
      </c>
      <c r="K356" t="s">
        <v>1088</v>
      </c>
      <c r="L356">
        <v>55.35</v>
      </c>
      <c r="M356">
        <v>128.68</v>
      </c>
      <c r="N356">
        <v>0.128</v>
      </c>
      <c r="O356">
        <v>10</v>
      </c>
    </row>
    <row r="357" spans="1:15" x14ac:dyDescent="0.25">
      <c r="A357" t="s">
        <v>369</v>
      </c>
      <c r="B357" s="2">
        <v>45292</v>
      </c>
      <c r="C357" s="2">
        <v>45318</v>
      </c>
      <c r="D357" t="s">
        <v>649</v>
      </c>
      <c r="E357" t="s">
        <v>658</v>
      </c>
      <c r="F357" t="s">
        <v>693</v>
      </c>
      <c r="G357" t="s">
        <v>702</v>
      </c>
      <c r="H357" t="s">
        <v>710</v>
      </c>
      <c r="I357" t="s">
        <v>726</v>
      </c>
      <c r="J357" t="s">
        <v>733</v>
      </c>
      <c r="K357" t="s">
        <v>1089</v>
      </c>
      <c r="L357">
        <v>657.45</v>
      </c>
      <c r="M357">
        <v>1325.96</v>
      </c>
      <c r="N357">
        <v>0.16700000000000001</v>
      </c>
      <c r="O357">
        <v>21</v>
      </c>
    </row>
    <row r="358" spans="1:15" x14ac:dyDescent="0.25">
      <c r="A358" t="s">
        <v>370</v>
      </c>
      <c r="B358" s="2">
        <v>45883</v>
      </c>
      <c r="C358" s="2">
        <v>45911</v>
      </c>
      <c r="D358" t="s">
        <v>648</v>
      </c>
      <c r="E358" t="s">
        <v>655</v>
      </c>
      <c r="F358" t="s">
        <v>670</v>
      </c>
      <c r="G358" t="s">
        <v>703</v>
      </c>
      <c r="H358" t="s">
        <v>711</v>
      </c>
      <c r="I358" t="s">
        <v>721</v>
      </c>
      <c r="J358" t="s">
        <v>728</v>
      </c>
      <c r="K358" t="s">
        <v>1090</v>
      </c>
      <c r="L358">
        <v>1203.02</v>
      </c>
      <c r="M358">
        <v>2439.33</v>
      </c>
      <c r="N358">
        <v>0</v>
      </c>
      <c r="O358">
        <v>18</v>
      </c>
    </row>
    <row r="359" spans="1:15" x14ac:dyDescent="0.25">
      <c r="A359" t="s">
        <v>371</v>
      </c>
      <c r="B359" s="2">
        <v>45385</v>
      </c>
      <c r="C359" s="2">
        <v>45403</v>
      </c>
      <c r="D359" t="s">
        <v>648</v>
      </c>
      <c r="E359" t="s">
        <v>655</v>
      </c>
      <c r="F359" t="s">
        <v>672</v>
      </c>
      <c r="G359" t="s">
        <v>705</v>
      </c>
      <c r="H359" t="s">
        <v>710</v>
      </c>
      <c r="I359" t="s">
        <v>717</v>
      </c>
      <c r="J359" t="s">
        <v>729</v>
      </c>
      <c r="K359" t="s">
        <v>1091</v>
      </c>
      <c r="L359">
        <v>1176.69</v>
      </c>
      <c r="M359">
        <v>2201.54</v>
      </c>
      <c r="N359">
        <v>0.17</v>
      </c>
      <c r="O359">
        <v>27</v>
      </c>
    </row>
    <row r="360" spans="1:15" x14ac:dyDescent="0.25">
      <c r="A360" t="s">
        <v>372</v>
      </c>
      <c r="B360" s="2">
        <v>45621</v>
      </c>
      <c r="C360" s="2">
        <v>45633</v>
      </c>
      <c r="D360" t="s">
        <v>647</v>
      </c>
      <c r="E360" t="s">
        <v>659</v>
      </c>
      <c r="F360" t="s">
        <v>685</v>
      </c>
      <c r="G360" t="s">
        <v>701</v>
      </c>
      <c r="H360" t="s">
        <v>710</v>
      </c>
      <c r="I360" t="s">
        <v>720</v>
      </c>
      <c r="J360" t="s">
        <v>733</v>
      </c>
      <c r="K360" t="s">
        <v>1092</v>
      </c>
      <c r="L360">
        <v>769.9</v>
      </c>
      <c r="M360">
        <v>814.36</v>
      </c>
      <c r="N360">
        <v>0</v>
      </c>
      <c r="O360">
        <v>5</v>
      </c>
    </row>
    <row r="361" spans="1:15" x14ac:dyDescent="0.25">
      <c r="A361" t="s">
        <v>373</v>
      </c>
      <c r="B361" s="2">
        <v>45309</v>
      </c>
      <c r="C361" s="2">
        <v>45325</v>
      </c>
      <c r="D361" t="s">
        <v>646</v>
      </c>
      <c r="E361" t="s">
        <v>661</v>
      </c>
      <c r="F361" t="s">
        <v>695</v>
      </c>
      <c r="G361" t="s">
        <v>703</v>
      </c>
      <c r="H361" t="s">
        <v>710</v>
      </c>
      <c r="I361" t="s">
        <v>716</v>
      </c>
      <c r="J361" t="s">
        <v>728</v>
      </c>
      <c r="K361" t="s">
        <v>1093</v>
      </c>
      <c r="L361">
        <v>666.23</v>
      </c>
      <c r="M361">
        <v>1382.91</v>
      </c>
      <c r="N361">
        <v>0.17599999999999999</v>
      </c>
      <c r="O361">
        <v>13</v>
      </c>
    </row>
    <row r="362" spans="1:15" x14ac:dyDescent="0.25">
      <c r="A362" t="s">
        <v>374</v>
      </c>
      <c r="B362" s="2">
        <v>45466</v>
      </c>
      <c r="C362" s="2">
        <v>45468</v>
      </c>
      <c r="D362" t="s">
        <v>649</v>
      </c>
      <c r="E362" t="s">
        <v>658</v>
      </c>
      <c r="F362" t="s">
        <v>674</v>
      </c>
      <c r="G362" t="s">
        <v>705</v>
      </c>
      <c r="H362" t="s">
        <v>709</v>
      </c>
      <c r="I362" t="s">
        <v>716</v>
      </c>
      <c r="J362" t="s">
        <v>733</v>
      </c>
      <c r="K362" t="s">
        <v>1094</v>
      </c>
      <c r="L362">
        <v>951.44</v>
      </c>
      <c r="M362">
        <v>1646.43</v>
      </c>
      <c r="N362">
        <v>0.11</v>
      </c>
      <c r="O362">
        <v>24</v>
      </c>
    </row>
    <row r="363" spans="1:15" x14ac:dyDescent="0.25">
      <c r="A363" t="s">
        <v>375</v>
      </c>
      <c r="B363" s="2">
        <v>45833</v>
      </c>
      <c r="C363" s="2">
        <v>45848</v>
      </c>
      <c r="D363" t="s">
        <v>649</v>
      </c>
      <c r="E363" t="s">
        <v>658</v>
      </c>
      <c r="F363" t="s">
        <v>674</v>
      </c>
      <c r="G363" t="s">
        <v>703</v>
      </c>
      <c r="H363" t="s">
        <v>709</v>
      </c>
      <c r="I363" t="s">
        <v>726</v>
      </c>
      <c r="J363" t="s">
        <v>730</v>
      </c>
      <c r="K363" t="s">
        <v>1095</v>
      </c>
      <c r="L363">
        <v>546.83000000000004</v>
      </c>
      <c r="M363">
        <v>400.84</v>
      </c>
      <c r="N363">
        <v>7.8E-2</v>
      </c>
      <c r="O363">
        <v>13</v>
      </c>
    </row>
    <row r="364" spans="1:15" x14ac:dyDescent="0.25">
      <c r="A364" t="s">
        <v>376</v>
      </c>
      <c r="B364" s="2">
        <v>45108</v>
      </c>
      <c r="C364" s="2">
        <v>45115</v>
      </c>
      <c r="D364" t="s">
        <v>646</v>
      </c>
      <c r="E364" t="s">
        <v>651</v>
      </c>
      <c r="F364" t="s">
        <v>663</v>
      </c>
      <c r="G364" t="s">
        <v>701</v>
      </c>
      <c r="H364" t="s">
        <v>707</v>
      </c>
      <c r="I364" t="s">
        <v>720</v>
      </c>
      <c r="J364" t="s">
        <v>731</v>
      </c>
      <c r="K364" t="s">
        <v>1096</v>
      </c>
      <c r="L364">
        <v>834.26</v>
      </c>
      <c r="M364">
        <v>1780.56</v>
      </c>
      <c r="N364">
        <v>1.4E-2</v>
      </c>
      <c r="O364">
        <v>47</v>
      </c>
    </row>
    <row r="365" spans="1:15" x14ac:dyDescent="0.25">
      <c r="A365" t="s">
        <v>377</v>
      </c>
      <c r="B365" s="2">
        <v>45360</v>
      </c>
      <c r="C365" s="2">
        <v>45377</v>
      </c>
      <c r="D365" t="s">
        <v>647</v>
      </c>
      <c r="E365" t="s">
        <v>659</v>
      </c>
      <c r="F365" t="s">
        <v>676</v>
      </c>
      <c r="G365" t="s">
        <v>706</v>
      </c>
      <c r="H365" t="s">
        <v>708</v>
      </c>
      <c r="I365" t="s">
        <v>723</v>
      </c>
      <c r="J365" t="s">
        <v>732</v>
      </c>
      <c r="K365" t="s">
        <v>1097</v>
      </c>
      <c r="L365">
        <v>1029.67</v>
      </c>
      <c r="M365">
        <v>1118.43</v>
      </c>
      <c r="N365">
        <v>0.27200000000000002</v>
      </c>
      <c r="O365">
        <v>9</v>
      </c>
    </row>
    <row r="366" spans="1:15" x14ac:dyDescent="0.25">
      <c r="A366" t="s">
        <v>378</v>
      </c>
      <c r="B366" s="2">
        <v>45082</v>
      </c>
      <c r="C366" s="2">
        <v>45105</v>
      </c>
      <c r="D366" t="s">
        <v>649</v>
      </c>
      <c r="E366" t="s">
        <v>658</v>
      </c>
      <c r="F366" t="s">
        <v>674</v>
      </c>
      <c r="G366" t="s">
        <v>701</v>
      </c>
      <c r="H366" t="s">
        <v>711</v>
      </c>
      <c r="I366" t="s">
        <v>723</v>
      </c>
      <c r="J366" t="s">
        <v>728</v>
      </c>
      <c r="K366" t="s">
        <v>1098</v>
      </c>
      <c r="L366">
        <v>605.82000000000005</v>
      </c>
      <c r="M366">
        <v>771.12</v>
      </c>
      <c r="N366">
        <v>0.13200000000000001</v>
      </c>
      <c r="O366">
        <v>19</v>
      </c>
    </row>
    <row r="367" spans="1:15" x14ac:dyDescent="0.25">
      <c r="A367" t="s">
        <v>379</v>
      </c>
      <c r="B367" s="2">
        <v>45737</v>
      </c>
      <c r="C367" s="2">
        <v>45756</v>
      </c>
      <c r="D367" t="s">
        <v>647</v>
      </c>
      <c r="E367" t="s">
        <v>652</v>
      </c>
      <c r="F367" t="s">
        <v>689</v>
      </c>
      <c r="G367" t="s">
        <v>705</v>
      </c>
      <c r="H367" t="s">
        <v>710</v>
      </c>
      <c r="I367" t="s">
        <v>718</v>
      </c>
      <c r="J367" t="s">
        <v>727</v>
      </c>
      <c r="K367" t="s">
        <v>1099</v>
      </c>
      <c r="L367">
        <v>1055.45</v>
      </c>
      <c r="M367">
        <v>1210.04</v>
      </c>
      <c r="N367">
        <v>8.9999999999999993E-3</v>
      </c>
      <c r="O367">
        <v>18</v>
      </c>
    </row>
    <row r="368" spans="1:15" x14ac:dyDescent="0.25">
      <c r="A368" t="s">
        <v>380</v>
      </c>
      <c r="B368" s="2">
        <v>45445</v>
      </c>
      <c r="C368" s="2">
        <v>45458</v>
      </c>
      <c r="D368" t="s">
        <v>646</v>
      </c>
      <c r="E368" t="s">
        <v>650</v>
      </c>
      <c r="F368" t="s">
        <v>675</v>
      </c>
      <c r="G368" t="s">
        <v>702</v>
      </c>
      <c r="H368" t="s">
        <v>708</v>
      </c>
      <c r="I368" t="s">
        <v>719</v>
      </c>
      <c r="J368" t="s">
        <v>730</v>
      </c>
      <c r="K368" t="s">
        <v>1100</v>
      </c>
      <c r="L368">
        <v>1295.18</v>
      </c>
      <c r="M368">
        <v>3024.03</v>
      </c>
      <c r="N368">
        <v>0.192</v>
      </c>
      <c r="O368">
        <v>8</v>
      </c>
    </row>
    <row r="369" spans="1:15" x14ac:dyDescent="0.25">
      <c r="A369" t="s">
        <v>381</v>
      </c>
      <c r="B369" s="2">
        <v>45731</v>
      </c>
      <c r="C369" s="2">
        <v>45745</v>
      </c>
      <c r="D369" t="s">
        <v>647</v>
      </c>
      <c r="E369" t="s">
        <v>654</v>
      </c>
      <c r="F369" t="s">
        <v>691</v>
      </c>
      <c r="G369" t="s">
        <v>706</v>
      </c>
      <c r="H369" t="s">
        <v>711</v>
      </c>
      <c r="I369" t="s">
        <v>712</v>
      </c>
      <c r="J369" t="s">
        <v>727</v>
      </c>
      <c r="K369" t="s">
        <v>1101</v>
      </c>
      <c r="L369">
        <v>935.83</v>
      </c>
      <c r="M369">
        <v>2303.46</v>
      </c>
      <c r="N369">
        <v>0.105</v>
      </c>
      <c r="O369">
        <v>9</v>
      </c>
    </row>
    <row r="370" spans="1:15" x14ac:dyDescent="0.25">
      <c r="A370" t="s">
        <v>382</v>
      </c>
      <c r="B370" s="2">
        <v>45194</v>
      </c>
      <c r="C370" s="2">
        <v>45208</v>
      </c>
      <c r="D370" t="s">
        <v>648</v>
      </c>
      <c r="E370" t="s">
        <v>660</v>
      </c>
      <c r="F370" t="s">
        <v>700</v>
      </c>
      <c r="G370" t="s">
        <v>705</v>
      </c>
      <c r="H370" t="s">
        <v>709</v>
      </c>
      <c r="I370" t="s">
        <v>713</v>
      </c>
      <c r="J370" t="s">
        <v>731</v>
      </c>
      <c r="K370" t="s">
        <v>1102</v>
      </c>
      <c r="L370">
        <v>1279.56</v>
      </c>
      <c r="M370">
        <v>3083.8</v>
      </c>
      <c r="N370">
        <v>0.106</v>
      </c>
      <c r="O370">
        <v>5</v>
      </c>
    </row>
    <row r="371" spans="1:15" x14ac:dyDescent="0.25">
      <c r="A371" t="s">
        <v>383</v>
      </c>
      <c r="B371" s="2">
        <v>45832</v>
      </c>
      <c r="C371" s="2">
        <v>45861</v>
      </c>
      <c r="D371" t="s">
        <v>648</v>
      </c>
      <c r="E371" t="s">
        <v>653</v>
      </c>
      <c r="F371" t="s">
        <v>688</v>
      </c>
      <c r="G371" t="s">
        <v>703</v>
      </c>
      <c r="H371" t="s">
        <v>709</v>
      </c>
      <c r="I371" t="s">
        <v>714</v>
      </c>
      <c r="J371" t="s">
        <v>728</v>
      </c>
      <c r="K371" t="s">
        <v>1103</v>
      </c>
      <c r="L371">
        <v>255.4</v>
      </c>
      <c r="M371">
        <v>322.70999999999998</v>
      </c>
      <c r="N371">
        <v>0.115</v>
      </c>
      <c r="O371">
        <v>16</v>
      </c>
    </row>
    <row r="372" spans="1:15" x14ac:dyDescent="0.25">
      <c r="A372" t="s">
        <v>384</v>
      </c>
      <c r="B372" s="2">
        <v>45286</v>
      </c>
      <c r="C372" s="2">
        <v>45294</v>
      </c>
      <c r="D372" t="s">
        <v>649</v>
      </c>
      <c r="E372" t="s">
        <v>657</v>
      </c>
      <c r="F372" t="s">
        <v>679</v>
      </c>
      <c r="G372" t="s">
        <v>705</v>
      </c>
      <c r="H372" t="s">
        <v>707</v>
      </c>
      <c r="I372" t="s">
        <v>724</v>
      </c>
      <c r="J372" t="s">
        <v>731</v>
      </c>
      <c r="K372" t="s">
        <v>1104</v>
      </c>
      <c r="L372">
        <v>492.75</v>
      </c>
      <c r="M372">
        <v>731.29</v>
      </c>
      <c r="N372">
        <v>5.8000000000000003E-2</v>
      </c>
      <c r="O372">
        <v>6</v>
      </c>
    </row>
    <row r="373" spans="1:15" x14ac:dyDescent="0.25">
      <c r="A373" t="s">
        <v>385</v>
      </c>
      <c r="B373" s="2">
        <v>44962</v>
      </c>
      <c r="C373" s="2">
        <v>44985</v>
      </c>
      <c r="D373" t="s">
        <v>648</v>
      </c>
      <c r="E373" t="s">
        <v>660</v>
      </c>
      <c r="F373" t="s">
        <v>697</v>
      </c>
      <c r="G373" t="s">
        <v>703</v>
      </c>
      <c r="H373" t="s">
        <v>710</v>
      </c>
      <c r="I373" t="s">
        <v>716</v>
      </c>
      <c r="J373" t="s">
        <v>730</v>
      </c>
      <c r="K373" t="s">
        <v>1105</v>
      </c>
      <c r="L373">
        <v>1214.49</v>
      </c>
      <c r="M373">
        <v>1533.95</v>
      </c>
      <c r="N373">
        <v>0</v>
      </c>
      <c r="O373">
        <v>11</v>
      </c>
    </row>
    <row r="374" spans="1:15" x14ac:dyDescent="0.25">
      <c r="A374" t="s">
        <v>386</v>
      </c>
      <c r="B374" s="2">
        <v>45022</v>
      </c>
      <c r="C374" s="2">
        <v>45024</v>
      </c>
      <c r="D374" t="s">
        <v>646</v>
      </c>
      <c r="E374" t="s">
        <v>651</v>
      </c>
      <c r="F374" t="s">
        <v>669</v>
      </c>
      <c r="G374" t="s">
        <v>705</v>
      </c>
      <c r="H374" t="s">
        <v>709</v>
      </c>
      <c r="I374" t="s">
        <v>723</v>
      </c>
      <c r="J374" t="s">
        <v>732</v>
      </c>
      <c r="K374" t="s">
        <v>1106</v>
      </c>
      <c r="L374">
        <v>720.35</v>
      </c>
      <c r="M374">
        <v>1571.66</v>
      </c>
      <c r="N374">
        <v>0.107</v>
      </c>
      <c r="O374">
        <v>23</v>
      </c>
    </row>
    <row r="375" spans="1:15" x14ac:dyDescent="0.25">
      <c r="A375" t="s">
        <v>387</v>
      </c>
      <c r="B375" s="2">
        <v>45751</v>
      </c>
      <c r="C375" s="2">
        <v>45757</v>
      </c>
      <c r="D375" t="s">
        <v>649</v>
      </c>
      <c r="E375" t="s">
        <v>658</v>
      </c>
      <c r="F375" t="s">
        <v>674</v>
      </c>
      <c r="G375" t="s">
        <v>703</v>
      </c>
      <c r="H375" t="s">
        <v>711</v>
      </c>
      <c r="I375" t="s">
        <v>725</v>
      </c>
      <c r="J375" t="s">
        <v>728</v>
      </c>
      <c r="K375" t="s">
        <v>1107</v>
      </c>
      <c r="L375">
        <v>290.14</v>
      </c>
      <c r="M375">
        <v>250.73</v>
      </c>
      <c r="N375">
        <v>3.4000000000000002E-2</v>
      </c>
      <c r="O375">
        <v>17</v>
      </c>
    </row>
    <row r="376" spans="1:15" x14ac:dyDescent="0.25">
      <c r="A376" t="s">
        <v>388</v>
      </c>
      <c r="B376" s="2">
        <v>45429</v>
      </c>
      <c r="C376" s="2">
        <v>45439</v>
      </c>
      <c r="D376" t="s">
        <v>648</v>
      </c>
      <c r="E376" t="s">
        <v>660</v>
      </c>
      <c r="F376" t="s">
        <v>697</v>
      </c>
      <c r="G376" t="s">
        <v>703</v>
      </c>
      <c r="H376" t="s">
        <v>708</v>
      </c>
      <c r="I376" t="s">
        <v>712</v>
      </c>
      <c r="J376" t="s">
        <v>730</v>
      </c>
      <c r="K376" t="s">
        <v>1108</v>
      </c>
      <c r="L376">
        <v>1484.23</v>
      </c>
      <c r="M376">
        <v>3472.81</v>
      </c>
      <c r="N376">
        <v>0.25600000000000001</v>
      </c>
      <c r="O376">
        <v>12</v>
      </c>
    </row>
    <row r="377" spans="1:15" x14ac:dyDescent="0.25">
      <c r="A377" t="s">
        <v>389</v>
      </c>
      <c r="B377" s="2">
        <v>45354</v>
      </c>
      <c r="C377" s="2">
        <v>45370</v>
      </c>
      <c r="D377" t="s">
        <v>647</v>
      </c>
      <c r="E377" t="s">
        <v>659</v>
      </c>
      <c r="F377" t="s">
        <v>699</v>
      </c>
      <c r="G377" t="s">
        <v>704</v>
      </c>
      <c r="H377" t="s">
        <v>710</v>
      </c>
      <c r="I377" t="s">
        <v>715</v>
      </c>
      <c r="J377" t="s">
        <v>730</v>
      </c>
      <c r="K377" t="s">
        <v>1109</v>
      </c>
      <c r="L377">
        <v>988.83</v>
      </c>
      <c r="M377">
        <v>1206.04</v>
      </c>
      <c r="N377">
        <v>6.3E-2</v>
      </c>
      <c r="O377">
        <v>34</v>
      </c>
    </row>
    <row r="378" spans="1:15" x14ac:dyDescent="0.25">
      <c r="A378" t="s">
        <v>390</v>
      </c>
      <c r="B378" s="2">
        <v>45835</v>
      </c>
      <c r="C378" s="2">
        <v>45849</v>
      </c>
      <c r="D378" t="s">
        <v>647</v>
      </c>
      <c r="E378" t="s">
        <v>659</v>
      </c>
      <c r="F378" t="s">
        <v>685</v>
      </c>
      <c r="G378" t="s">
        <v>705</v>
      </c>
      <c r="H378" t="s">
        <v>709</v>
      </c>
      <c r="I378" t="s">
        <v>716</v>
      </c>
      <c r="J378" t="s">
        <v>729</v>
      </c>
      <c r="K378" t="s">
        <v>1110</v>
      </c>
      <c r="L378">
        <v>1227.7</v>
      </c>
      <c r="M378">
        <v>2197.23</v>
      </c>
      <c r="N378">
        <v>9.9000000000000005E-2</v>
      </c>
      <c r="O378">
        <v>22</v>
      </c>
    </row>
    <row r="379" spans="1:15" x14ac:dyDescent="0.25">
      <c r="A379" t="s">
        <v>391</v>
      </c>
      <c r="B379" s="2">
        <v>44998</v>
      </c>
      <c r="C379" s="2">
        <v>45020</v>
      </c>
      <c r="D379" t="s">
        <v>646</v>
      </c>
      <c r="E379" t="s">
        <v>661</v>
      </c>
      <c r="F379" t="s">
        <v>687</v>
      </c>
      <c r="G379" t="s">
        <v>705</v>
      </c>
      <c r="H379" t="s">
        <v>707</v>
      </c>
      <c r="I379" t="s">
        <v>720</v>
      </c>
      <c r="J379" t="s">
        <v>727</v>
      </c>
      <c r="K379" t="s">
        <v>1111</v>
      </c>
      <c r="L379">
        <v>1113.7</v>
      </c>
      <c r="M379">
        <v>1620.6</v>
      </c>
      <c r="N379">
        <v>0.13900000000000001</v>
      </c>
      <c r="O379">
        <v>11</v>
      </c>
    </row>
    <row r="380" spans="1:15" x14ac:dyDescent="0.25">
      <c r="A380" t="s">
        <v>392</v>
      </c>
      <c r="B380" s="2">
        <v>45664</v>
      </c>
      <c r="C380" s="2">
        <v>45677</v>
      </c>
      <c r="D380" t="s">
        <v>646</v>
      </c>
      <c r="E380" t="s">
        <v>661</v>
      </c>
      <c r="F380" t="s">
        <v>695</v>
      </c>
      <c r="G380" t="s">
        <v>701</v>
      </c>
      <c r="H380" t="s">
        <v>711</v>
      </c>
      <c r="I380" t="s">
        <v>723</v>
      </c>
      <c r="J380" t="s">
        <v>729</v>
      </c>
      <c r="K380" t="s">
        <v>1112</v>
      </c>
      <c r="L380">
        <v>432.13</v>
      </c>
      <c r="M380">
        <v>1034.6600000000001</v>
      </c>
      <c r="N380">
        <v>9.1999999999999998E-2</v>
      </c>
      <c r="O380">
        <v>7</v>
      </c>
    </row>
    <row r="381" spans="1:15" x14ac:dyDescent="0.25">
      <c r="A381" t="s">
        <v>393</v>
      </c>
      <c r="B381" s="2">
        <v>45694</v>
      </c>
      <c r="C381" s="2">
        <v>45703</v>
      </c>
      <c r="D381" t="s">
        <v>648</v>
      </c>
      <c r="E381" t="s">
        <v>655</v>
      </c>
      <c r="F381" t="s">
        <v>670</v>
      </c>
      <c r="G381" t="s">
        <v>703</v>
      </c>
      <c r="H381" t="s">
        <v>710</v>
      </c>
      <c r="I381" t="s">
        <v>721</v>
      </c>
      <c r="J381" t="s">
        <v>729</v>
      </c>
      <c r="K381" t="s">
        <v>1113</v>
      </c>
      <c r="L381">
        <v>837.39</v>
      </c>
      <c r="M381">
        <v>1905.42</v>
      </c>
      <c r="N381">
        <v>3.2000000000000001E-2</v>
      </c>
      <c r="O381">
        <v>18</v>
      </c>
    </row>
    <row r="382" spans="1:15" x14ac:dyDescent="0.25">
      <c r="A382" t="s">
        <v>394</v>
      </c>
      <c r="B382" s="2">
        <v>45688</v>
      </c>
      <c r="C382" s="2">
        <v>45705</v>
      </c>
      <c r="D382" t="s">
        <v>649</v>
      </c>
      <c r="E382" t="s">
        <v>658</v>
      </c>
      <c r="F382" t="s">
        <v>683</v>
      </c>
      <c r="G382" t="s">
        <v>706</v>
      </c>
      <c r="H382" t="s">
        <v>707</v>
      </c>
      <c r="I382" t="s">
        <v>722</v>
      </c>
      <c r="J382" t="s">
        <v>727</v>
      </c>
      <c r="K382" t="s">
        <v>812</v>
      </c>
      <c r="L382">
        <v>378.26</v>
      </c>
      <c r="M382">
        <v>541.55999999999995</v>
      </c>
      <c r="N382">
        <v>0.16300000000000001</v>
      </c>
      <c r="O382">
        <v>25</v>
      </c>
    </row>
    <row r="383" spans="1:15" x14ac:dyDescent="0.25">
      <c r="A383" t="s">
        <v>395</v>
      </c>
      <c r="B383" s="2">
        <v>45876</v>
      </c>
      <c r="C383" s="2">
        <v>45906</v>
      </c>
      <c r="D383" t="s">
        <v>648</v>
      </c>
      <c r="E383" t="s">
        <v>653</v>
      </c>
      <c r="F383" t="s">
        <v>681</v>
      </c>
      <c r="G383" t="s">
        <v>702</v>
      </c>
      <c r="H383" t="s">
        <v>711</v>
      </c>
      <c r="I383" t="s">
        <v>724</v>
      </c>
      <c r="J383" t="s">
        <v>729</v>
      </c>
      <c r="K383" t="s">
        <v>1114</v>
      </c>
      <c r="L383">
        <v>833.73</v>
      </c>
      <c r="M383">
        <v>1116.5999999999999</v>
      </c>
      <c r="N383">
        <v>0.17599999999999999</v>
      </c>
      <c r="O383">
        <v>14</v>
      </c>
    </row>
    <row r="384" spans="1:15" x14ac:dyDescent="0.25">
      <c r="A384" t="s">
        <v>396</v>
      </c>
      <c r="B384" s="2">
        <v>45861</v>
      </c>
      <c r="C384" s="2">
        <v>45886</v>
      </c>
      <c r="D384" t="s">
        <v>649</v>
      </c>
      <c r="E384" t="s">
        <v>658</v>
      </c>
      <c r="F384" t="s">
        <v>674</v>
      </c>
      <c r="G384" t="s">
        <v>702</v>
      </c>
      <c r="H384" t="s">
        <v>708</v>
      </c>
      <c r="I384" t="s">
        <v>714</v>
      </c>
      <c r="J384" t="s">
        <v>728</v>
      </c>
      <c r="K384" t="s">
        <v>1115</v>
      </c>
      <c r="L384">
        <v>1142.06</v>
      </c>
      <c r="M384">
        <v>1455</v>
      </c>
      <c r="N384">
        <v>7.8E-2</v>
      </c>
      <c r="O384">
        <v>28</v>
      </c>
    </row>
    <row r="385" spans="1:15" x14ac:dyDescent="0.25">
      <c r="A385" t="s">
        <v>397</v>
      </c>
      <c r="B385" s="2">
        <v>45097</v>
      </c>
      <c r="C385" s="2">
        <v>45115</v>
      </c>
      <c r="D385" t="s">
        <v>648</v>
      </c>
      <c r="E385" t="s">
        <v>660</v>
      </c>
      <c r="F385" t="s">
        <v>700</v>
      </c>
      <c r="G385" t="s">
        <v>704</v>
      </c>
      <c r="H385" t="s">
        <v>709</v>
      </c>
      <c r="I385" t="s">
        <v>719</v>
      </c>
      <c r="J385" t="s">
        <v>729</v>
      </c>
      <c r="K385" t="s">
        <v>1116</v>
      </c>
      <c r="L385">
        <v>1145.53</v>
      </c>
      <c r="M385">
        <v>1278.3</v>
      </c>
      <c r="N385">
        <v>0.09</v>
      </c>
      <c r="O385">
        <v>41</v>
      </c>
    </row>
    <row r="386" spans="1:15" x14ac:dyDescent="0.25">
      <c r="A386" t="s">
        <v>398</v>
      </c>
      <c r="B386" s="2">
        <v>45491</v>
      </c>
      <c r="C386" s="2">
        <v>45511</v>
      </c>
      <c r="D386" t="s">
        <v>649</v>
      </c>
      <c r="E386" t="s">
        <v>657</v>
      </c>
      <c r="F386" t="s">
        <v>673</v>
      </c>
      <c r="G386" t="s">
        <v>701</v>
      </c>
      <c r="H386" t="s">
        <v>707</v>
      </c>
      <c r="I386" t="s">
        <v>721</v>
      </c>
      <c r="J386" t="s">
        <v>732</v>
      </c>
      <c r="K386" t="s">
        <v>1117</v>
      </c>
      <c r="L386">
        <v>941.35</v>
      </c>
      <c r="M386">
        <v>899.83</v>
      </c>
      <c r="N386">
        <v>5.8000000000000003E-2</v>
      </c>
      <c r="O386">
        <v>18</v>
      </c>
    </row>
    <row r="387" spans="1:15" x14ac:dyDescent="0.25">
      <c r="A387" t="s">
        <v>399</v>
      </c>
      <c r="B387" s="2">
        <v>45066</v>
      </c>
      <c r="C387" s="2">
        <v>45096</v>
      </c>
      <c r="D387" t="s">
        <v>647</v>
      </c>
      <c r="E387" t="s">
        <v>654</v>
      </c>
      <c r="F387" t="s">
        <v>680</v>
      </c>
      <c r="G387" t="s">
        <v>703</v>
      </c>
      <c r="H387" t="s">
        <v>709</v>
      </c>
      <c r="I387" t="s">
        <v>722</v>
      </c>
      <c r="J387" t="s">
        <v>731</v>
      </c>
      <c r="K387" t="s">
        <v>1118</v>
      </c>
      <c r="L387">
        <v>1161.2</v>
      </c>
      <c r="M387">
        <v>878.73</v>
      </c>
      <c r="N387">
        <v>0.19</v>
      </c>
      <c r="O387">
        <v>31</v>
      </c>
    </row>
    <row r="388" spans="1:15" x14ac:dyDescent="0.25">
      <c r="A388" t="s">
        <v>400</v>
      </c>
      <c r="B388" s="2">
        <v>45789</v>
      </c>
      <c r="C388" s="2">
        <v>45803</v>
      </c>
      <c r="D388" t="s">
        <v>647</v>
      </c>
      <c r="E388" t="s">
        <v>654</v>
      </c>
      <c r="F388" t="s">
        <v>696</v>
      </c>
      <c r="G388" t="s">
        <v>701</v>
      </c>
      <c r="H388" t="s">
        <v>709</v>
      </c>
      <c r="I388" t="s">
        <v>715</v>
      </c>
      <c r="J388" t="s">
        <v>728</v>
      </c>
      <c r="K388" t="s">
        <v>1119</v>
      </c>
      <c r="L388">
        <v>320.12</v>
      </c>
      <c r="M388">
        <v>594.41999999999996</v>
      </c>
      <c r="N388">
        <v>0.104</v>
      </c>
      <c r="O388">
        <v>18</v>
      </c>
    </row>
    <row r="389" spans="1:15" x14ac:dyDescent="0.25">
      <c r="A389" t="s">
        <v>401</v>
      </c>
      <c r="B389" s="2">
        <v>45419</v>
      </c>
      <c r="C389" s="2">
        <v>45424</v>
      </c>
      <c r="D389" t="s">
        <v>646</v>
      </c>
      <c r="E389" t="s">
        <v>651</v>
      </c>
      <c r="F389" t="s">
        <v>669</v>
      </c>
      <c r="G389" t="s">
        <v>703</v>
      </c>
      <c r="H389" t="s">
        <v>710</v>
      </c>
      <c r="I389" t="s">
        <v>716</v>
      </c>
      <c r="J389" t="s">
        <v>731</v>
      </c>
      <c r="K389" t="s">
        <v>1120</v>
      </c>
      <c r="L389">
        <v>1163.99</v>
      </c>
      <c r="M389">
        <v>1617.85</v>
      </c>
      <c r="N389">
        <v>0.127</v>
      </c>
      <c r="O389">
        <v>14</v>
      </c>
    </row>
    <row r="390" spans="1:15" x14ac:dyDescent="0.25">
      <c r="A390" t="s">
        <v>402</v>
      </c>
      <c r="B390" s="2">
        <v>45199</v>
      </c>
      <c r="C390" s="2">
        <v>45202</v>
      </c>
      <c r="D390" t="s">
        <v>647</v>
      </c>
      <c r="E390" t="s">
        <v>659</v>
      </c>
      <c r="F390" t="s">
        <v>699</v>
      </c>
      <c r="G390" t="s">
        <v>703</v>
      </c>
      <c r="H390" t="s">
        <v>707</v>
      </c>
      <c r="I390" t="s">
        <v>713</v>
      </c>
      <c r="J390" t="s">
        <v>731</v>
      </c>
      <c r="K390" t="s">
        <v>1121</v>
      </c>
      <c r="L390">
        <v>1019.36</v>
      </c>
      <c r="M390">
        <v>972.91</v>
      </c>
      <c r="N390">
        <v>0.14699999999999999</v>
      </c>
      <c r="O390">
        <v>17</v>
      </c>
    </row>
    <row r="391" spans="1:15" x14ac:dyDescent="0.25">
      <c r="A391" t="s">
        <v>403</v>
      </c>
      <c r="B391" s="2">
        <v>45225</v>
      </c>
      <c r="C391" s="2">
        <v>45235</v>
      </c>
      <c r="D391" t="s">
        <v>646</v>
      </c>
      <c r="E391" t="s">
        <v>661</v>
      </c>
      <c r="F391" t="s">
        <v>695</v>
      </c>
      <c r="G391" t="s">
        <v>703</v>
      </c>
      <c r="H391" t="s">
        <v>708</v>
      </c>
      <c r="I391" t="s">
        <v>714</v>
      </c>
      <c r="J391" t="s">
        <v>731</v>
      </c>
      <c r="K391" t="s">
        <v>1122</v>
      </c>
      <c r="L391">
        <v>20.38</v>
      </c>
      <c r="M391">
        <v>42.56</v>
      </c>
      <c r="N391">
        <v>7.1999999999999995E-2</v>
      </c>
      <c r="O391">
        <v>11</v>
      </c>
    </row>
    <row r="392" spans="1:15" x14ac:dyDescent="0.25">
      <c r="A392" t="s">
        <v>404</v>
      </c>
      <c r="B392" s="2">
        <v>45823</v>
      </c>
      <c r="C392" s="2">
        <v>45838</v>
      </c>
      <c r="D392" t="s">
        <v>646</v>
      </c>
      <c r="E392" t="s">
        <v>661</v>
      </c>
      <c r="F392" t="s">
        <v>682</v>
      </c>
      <c r="G392" t="s">
        <v>705</v>
      </c>
      <c r="H392" t="s">
        <v>711</v>
      </c>
      <c r="I392" t="s">
        <v>712</v>
      </c>
      <c r="J392" t="s">
        <v>732</v>
      </c>
      <c r="K392" t="s">
        <v>1123</v>
      </c>
      <c r="L392">
        <v>1487.59</v>
      </c>
      <c r="M392">
        <v>1480.83</v>
      </c>
      <c r="N392">
        <v>8.9999999999999993E-3</v>
      </c>
      <c r="O392">
        <v>11</v>
      </c>
    </row>
    <row r="393" spans="1:15" x14ac:dyDescent="0.25">
      <c r="A393" t="s">
        <v>405</v>
      </c>
      <c r="B393" s="2">
        <v>45514</v>
      </c>
      <c r="C393" s="2">
        <v>45542</v>
      </c>
      <c r="D393" t="s">
        <v>649</v>
      </c>
      <c r="E393" t="s">
        <v>657</v>
      </c>
      <c r="F393" t="s">
        <v>673</v>
      </c>
      <c r="G393" t="s">
        <v>703</v>
      </c>
      <c r="H393" t="s">
        <v>711</v>
      </c>
      <c r="I393" t="s">
        <v>721</v>
      </c>
      <c r="J393" t="s">
        <v>728</v>
      </c>
      <c r="K393" t="s">
        <v>1124</v>
      </c>
      <c r="L393">
        <v>229.96</v>
      </c>
      <c r="M393">
        <v>564.26</v>
      </c>
      <c r="N393">
        <v>0.105</v>
      </c>
      <c r="O393">
        <v>5</v>
      </c>
    </row>
    <row r="394" spans="1:15" x14ac:dyDescent="0.25">
      <c r="A394" t="s">
        <v>406</v>
      </c>
      <c r="B394" s="2">
        <v>45208</v>
      </c>
      <c r="C394" s="2">
        <v>45225</v>
      </c>
      <c r="D394" t="s">
        <v>647</v>
      </c>
      <c r="E394" t="s">
        <v>659</v>
      </c>
      <c r="F394" t="s">
        <v>685</v>
      </c>
      <c r="G394" t="s">
        <v>704</v>
      </c>
      <c r="H394" t="s">
        <v>709</v>
      </c>
      <c r="I394" t="s">
        <v>712</v>
      </c>
      <c r="J394" t="s">
        <v>727</v>
      </c>
      <c r="K394" t="s">
        <v>1125</v>
      </c>
      <c r="L394">
        <v>1132.03</v>
      </c>
      <c r="M394">
        <v>2137.21</v>
      </c>
      <c r="N394">
        <v>0.35699999999999998</v>
      </c>
      <c r="O394">
        <v>35</v>
      </c>
    </row>
    <row r="395" spans="1:15" x14ac:dyDescent="0.25">
      <c r="A395" t="s">
        <v>407</v>
      </c>
      <c r="B395" s="2">
        <v>45360</v>
      </c>
      <c r="C395" s="2">
        <v>45377</v>
      </c>
      <c r="D395" t="s">
        <v>648</v>
      </c>
      <c r="E395" t="s">
        <v>660</v>
      </c>
      <c r="F395" t="s">
        <v>686</v>
      </c>
      <c r="G395" t="s">
        <v>702</v>
      </c>
      <c r="H395" t="s">
        <v>711</v>
      </c>
      <c r="I395" t="s">
        <v>714</v>
      </c>
      <c r="J395" t="s">
        <v>730</v>
      </c>
      <c r="K395" t="s">
        <v>1126</v>
      </c>
      <c r="L395">
        <v>1137.4100000000001</v>
      </c>
      <c r="M395">
        <v>1680.93</v>
      </c>
      <c r="N395">
        <v>0.254</v>
      </c>
      <c r="O395">
        <v>9</v>
      </c>
    </row>
    <row r="396" spans="1:15" x14ac:dyDescent="0.25">
      <c r="A396" t="s">
        <v>408</v>
      </c>
      <c r="B396" s="2">
        <v>45075</v>
      </c>
      <c r="C396" s="2">
        <v>45097</v>
      </c>
      <c r="D396" t="s">
        <v>649</v>
      </c>
      <c r="E396" t="s">
        <v>658</v>
      </c>
      <c r="F396" t="s">
        <v>683</v>
      </c>
      <c r="G396" t="s">
        <v>705</v>
      </c>
      <c r="H396" t="s">
        <v>711</v>
      </c>
      <c r="I396" t="s">
        <v>723</v>
      </c>
      <c r="J396" t="s">
        <v>727</v>
      </c>
      <c r="K396" t="s">
        <v>1127</v>
      </c>
      <c r="L396">
        <v>1295.3900000000001</v>
      </c>
      <c r="M396">
        <v>2905.06</v>
      </c>
      <c r="N396">
        <v>0.14799999999999999</v>
      </c>
      <c r="O396">
        <v>8</v>
      </c>
    </row>
    <row r="397" spans="1:15" x14ac:dyDescent="0.25">
      <c r="A397" t="s">
        <v>409</v>
      </c>
      <c r="B397" s="2">
        <v>45804</v>
      </c>
      <c r="C397" s="2">
        <v>45816</v>
      </c>
      <c r="D397" t="s">
        <v>647</v>
      </c>
      <c r="E397" t="s">
        <v>652</v>
      </c>
      <c r="F397" t="s">
        <v>666</v>
      </c>
      <c r="G397" t="s">
        <v>701</v>
      </c>
      <c r="H397" t="s">
        <v>707</v>
      </c>
      <c r="I397" t="s">
        <v>722</v>
      </c>
      <c r="J397" t="s">
        <v>733</v>
      </c>
      <c r="K397" t="s">
        <v>1128</v>
      </c>
      <c r="L397">
        <v>653.6</v>
      </c>
      <c r="M397">
        <v>842.09</v>
      </c>
      <c r="N397">
        <v>9.8000000000000004E-2</v>
      </c>
      <c r="O397">
        <v>19</v>
      </c>
    </row>
    <row r="398" spans="1:15" x14ac:dyDescent="0.25">
      <c r="A398" t="s">
        <v>410</v>
      </c>
      <c r="B398" s="2">
        <v>45890</v>
      </c>
      <c r="C398" s="2">
        <v>45914</v>
      </c>
      <c r="D398" t="s">
        <v>649</v>
      </c>
      <c r="E398" t="s">
        <v>656</v>
      </c>
      <c r="F398" t="s">
        <v>671</v>
      </c>
      <c r="G398" t="s">
        <v>703</v>
      </c>
      <c r="H398" t="s">
        <v>708</v>
      </c>
      <c r="I398" t="s">
        <v>720</v>
      </c>
      <c r="J398" t="s">
        <v>732</v>
      </c>
      <c r="K398" t="s">
        <v>1129</v>
      </c>
      <c r="L398">
        <v>1397.67</v>
      </c>
      <c r="M398">
        <v>3131.37</v>
      </c>
      <c r="N398">
        <v>0.10299999999999999</v>
      </c>
      <c r="O398">
        <v>20</v>
      </c>
    </row>
    <row r="399" spans="1:15" x14ac:dyDescent="0.25">
      <c r="A399" t="s">
        <v>411</v>
      </c>
      <c r="B399" s="2">
        <v>45638</v>
      </c>
      <c r="C399" s="2">
        <v>45646</v>
      </c>
      <c r="D399" t="s">
        <v>647</v>
      </c>
      <c r="E399" t="s">
        <v>652</v>
      </c>
      <c r="F399" t="s">
        <v>689</v>
      </c>
      <c r="G399" t="s">
        <v>701</v>
      </c>
      <c r="H399" t="s">
        <v>707</v>
      </c>
      <c r="I399" t="s">
        <v>717</v>
      </c>
      <c r="J399" t="s">
        <v>731</v>
      </c>
      <c r="K399" t="s">
        <v>1130</v>
      </c>
      <c r="L399">
        <v>1202.47</v>
      </c>
      <c r="M399">
        <v>1444.72</v>
      </c>
      <c r="N399">
        <v>0.24099999999999999</v>
      </c>
      <c r="O399">
        <v>17</v>
      </c>
    </row>
    <row r="400" spans="1:15" x14ac:dyDescent="0.25">
      <c r="A400" t="s">
        <v>412</v>
      </c>
      <c r="B400" s="2">
        <v>45914</v>
      </c>
      <c r="C400" s="2">
        <v>45923</v>
      </c>
      <c r="D400" t="s">
        <v>646</v>
      </c>
      <c r="E400" t="s">
        <v>661</v>
      </c>
      <c r="F400" t="s">
        <v>687</v>
      </c>
      <c r="G400" t="s">
        <v>703</v>
      </c>
      <c r="H400" t="s">
        <v>708</v>
      </c>
      <c r="I400" t="s">
        <v>726</v>
      </c>
      <c r="J400" t="s">
        <v>727</v>
      </c>
      <c r="K400" t="s">
        <v>1131</v>
      </c>
      <c r="L400">
        <v>1310.3</v>
      </c>
      <c r="M400">
        <v>2875.8</v>
      </c>
      <c r="N400">
        <v>8.3000000000000004E-2</v>
      </c>
      <c r="O400">
        <v>5</v>
      </c>
    </row>
    <row r="401" spans="1:15" x14ac:dyDescent="0.25">
      <c r="A401" t="s">
        <v>413</v>
      </c>
      <c r="B401" s="2">
        <v>45541</v>
      </c>
      <c r="C401" s="2">
        <v>45569</v>
      </c>
      <c r="D401" t="s">
        <v>646</v>
      </c>
      <c r="E401" t="s">
        <v>661</v>
      </c>
      <c r="F401" t="s">
        <v>695</v>
      </c>
      <c r="G401" t="s">
        <v>701</v>
      </c>
      <c r="H401" t="s">
        <v>709</v>
      </c>
      <c r="I401" t="s">
        <v>726</v>
      </c>
      <c r="J401" t="s">
        <v>732</v>
      </c>
      <c r="K401" t="s">
        <v>1132</v>
      </c>
      <c r="L401">
        <v>1174.17</v>
      </c>
      <c r="M401">
        <v>1641.61</v>
      </c>
      <c r="N401">
        <v>0.122</v>
      </c>
      <c r="O401">
        <v>9</v>
      </c>
    </row>
    <row r="402" spans="1:15" x14ac:dyDescent="0.25">
      <c r="A402" t="s">
        <v>414</v>
      </c>
      <c r="B402" s="2">
        <v>45759</v>
      </c>
      <c r="C402" s="2">
        <v>45777</v>
      </c>
      <c r="D402" t="s">
        <v>646</v>
      </c>
      <c r="E402" t="s">
        <v>650</v>
      </c>
      <c r="F402" t="s">
        <v>662</v>
      </c>
      <c r="G402" t="s">
        <v>701</v>
      </c>
      <c r="H402" t="s">
        <v>709</v>
      </c>
      <c r="I402" t="s">
        <v>721</v>
      </c>
      <c r="J402" t="s">
        <v>729</v>
      </c>
      <c r="K402" t="s">
        <v>1133</v>
      </c>
      <c r="L402">
        <v>1119.04</v>
      </c>
      <c r="M402">
        <v>1299.02</v>
      </c>
      <c r="N402">
        <v>2.5000000000000001E-2</v>
      </c>
      <c r="O402">
        <v>14</v>
      </c>
    </row>
    <row r="403" spans="1:15" x14ac:dyDescent="0.25">
      <c r="A403" t="s">
        <v>415</v>
      </c>
      <c r="B403" s="2">
        <v>45516</v>
      </c>
      <c r="C403" s="2">
        <v>45519</v>
      </c>
      <c r="D403" t="s">
        <v>648</v>
      </c>
      <c r="E403" t="s">
        <v>660</v>
      </c>
      <c r="F403" t="s">
        <v>677</v>
      </c>
      <c r="G403" t="s">
        <v>701</v>
      </c>
      <c r="H403" t="s">
        <v>709</v>
      </c>
      <c r="I403" t="s">
        <v>726</v>
      </c>
      <c r="J403" t="s">
        <v>728</v>
      </c>
      <c r="K403" t="s">
        <v>1134</v>
      </c>
      <c r="L403">
        <v>850.7</v>
      </c>
      <c r="M403">
        <v>1118.56</v>
      </c>
      <c r="N403">
        <v>0.18</v>
      </c>
      <c r="O403">
        <v>19</v>
      </c>
    </row>
    <row r="404" spans="1:15" x14ac:dyDescent="0.25">
      <c r="A404" t="s">
        <v>416</v>
      </c>
      <c r="B404" s="2">
        <v>45601</v>
      </c>
      <c r="C404" s="2">
        <v>45604</v>
      </c>
      <c r="D404" t="s">
        <v>648</v>
      </c>
      <c r="E404" t="s">
        <v>653</v>
      </c>
      <c r="F404" t="s">
        <v>667</v>
      </c>
      <c r="G404" t="s">
        <v>702</v>
      </c>
      <c r="H404" t="s">
        <v>709</v>
      </c>
      <c r="I404" t="s">
        <v>719</v>
      </c>
      <c r="J404" t="s">
        <v>727</v>
      </c>
      <c r="K404" t="s">
        <v>1135</v>
      </c>
      <c r="L404">
        <v>1020.4</v>
      </c>
      <c r="M404">
        <v>1184.71</v>
      </c>
      <c r="N404">
        <v>0.106</v>
      </c>
      <c r="O404">
        <v>16</v>
      </c>
    </row>
    <row r="405" spans="1:15" x14ac:dyDescent="0.25">
      <c r="A405" t="s">
        <v>417</v>
      </c>
      <c r="B405" s="2">
        <v>45497</v>
      </c>
      <c r="C405" s="2">
        <v>45512</v>
      </c>
      <c r="D405" t="s">
        <v>649</v>
      </c>
      <c r="E405" t="s">
        <v>657</v>
      </c>
      <c r="F405" t="s">
        <v>673</v>
      </c>
      <c r="G405" t="s">
        <v>706</v>
      </c>
      <c r="H405" t="s">
        <v>709</v>
      </c>
      <c r="I405" t="s">
        <v>722</v>
      </c>
      <c r="J405" t="s">
        <v>731</v>
      </c>
      <c r="K405" t="s">
        <v>1136</v>
      </c>
      <c r="L405">
        <v>501.5</v>
      </c>
      <c r="M405">
        <v>1201.47</v>
      </c>
      <c r="N405">
        <v>0.126</v>
      </c>
      <c r="O405">
        <v>5</v>
      </c>
    </row>
    <row r="406" spans="1:15" x14ac:dyDescent="0.25">
      <c r="A406" t="s">
        <v>418</v>
      </c>
      <c r="B406" s="2">
        <v>45677</v>
      </c>
      <c r="C406" s="2">
        <v>45691</v>
      </c>
      <c r="D406" t="s">
        <v>648</v>
      </c>
      <c r="E406" t="s">
        <v>655</v>
      </c>
      <c r="F406" t="s">
        <v>672</v>
      </c>
      <c r="G406" t="s">
        <v>706</v>
      </c>
      <c r="H406" t="s">
        <v>709</v>
      </c>
      <c r="I406" t="s">
        <v>721</v>
      </c>
      <c r="J406" t="s">
        <v>727</v>
      </c>
      <c r="K406" t="s">
        <v>1137</v>
      </c>
      <c r="L406">
        <v>974.11</v>
      </c>
      <c r="M406">
        <v>880.99</v>
      </c>
      <c r="N406">
        <v>0.111</v>
      </c>
      <c r="O406">
        <v>10</v>
      </c>
    </row>
    <row r="407" spans="1:15" x14ac:dyDescent="0.25">
      <c r="A407" t="s">
        <v>419</v>
      </c>
      <c r="B407" s="2">
        <v>44991</v>
      </c>
      <c r="C407" s="2">
        <v>45020</v>
      </c>
      <c r="D407" t="s">
        <v>647</v>
      </c>
      <c r="E407" t="s">
        <v>659</v>
      </c>
      <c r="F407" t="s">
        <v>699</v>
      </c>
      <c r="G407" t="s">
        <v>705</v>
      </c>
      <c r="H407" t="s">
        <v>711</v>
      </c>
      <c r="I407" t="s">
        <v>712</v>
      </c>
      <c r="J407" t="s">
        <v>732</v>
      </c>
      <c r="K407" t="s">
        <v>1138</v>
      </c>
      <c r="L407">
        <v>1126.29</v>
      </c>
      <c r="M407">
        <v>2050.87</v>
      </c>
      <c r="N407">
        <v>6.4000000000000001E-2</v>
      </c>
      <c r="O407">
        <v>7</v>
      </c>
    </row>
    <row r="408" spans="1:15" x14ac:dyDescent="0.25">
      <c r="A408" t="s">
        <v>420</v>
      </c>
      <c r="B408" s="2">
        <v>45646</v>
      </c>
      <c r="C408" s="2">
        <v>45671</v>
      </c>
      <c r="D408" t="s">
        <v>647</v>
      </c>
      <c r="E408" t="s">
        <v>654</v>
      </c>
      <c r="F408" t="s">
        <v>680</v>
      </c>
      <c r="G408" t="s">
        <v>705</v>
      </c>
      <c r="H408" t="s">
        <v>707</v>
      </c>
      <c r="I408" t="s">
        <v>724</v>
      </c>
      <c r="J408" t="s">
        <v>728</v>
      </c>
      <c r="K408" t="s">
        <v>1139</v>
      </c>
      <c r="L408">
        <v>1361.34</v>
      </c>
      <c r="M408">
        <v>1737.9</v>
      </c>
      <c r="N408">
        <v>7.6999999999999999E-2</v>
      </c>
      <c r="O408">
        <v>14</v>
      </c>
    </row>
    <row r="409" spans="1:15" x14ac:dyDescent="0.25">
      <c r="A409" t="s">
        <v>421</v>
      </c>
      <c r="B409" s="2">
        <v>45709</v>
      </c>
      <c r="C409" s="2">
        <v>45737</v>
      </c>
      <c r="D409" t="s">
        <v>646</v>
      </c>
      <c r="E409" t="s">
        <v>651</v>
      </c>
      <c r="F409" t="s">
        <v>669</v>
      </c>
      <c r="G409" t="s">
        <v>706</v>
      </c>
      <c r="H409" t="s">
        <v>709</v>
      </c>
      <c r="I409" t="s">
        <v>714</v>
      </c>
      <c r="J409" t="s">
        <v>730</v>
      </c>
      <c r="K409" t="s">
        <v>1140</v>
      </c>
      <c r="L409">
        <v>1437.39</v>
      </c>
      <c r="M409">
        <v>1388.31</v>
      </c>
      <c r="N409">
        <v>0.13800000000000001</v>
      </c>
      <c r="O409">
        <v>18</v>
      </c>
    </row>
    <row r="410" spans="1:15" x14ac:dyDescent="0.25">
      <c r="A410" t="s">
        <v>422</v>
      </c>
      <c r="B410" s="2">
        <v>45724</v>
      </c>
      <c r="C410" s="2">
        <v>45731</v>
      </c>
      <c r="D410" t="s">
        <v>647</v>
      </c>
      <c r="E410" t="s">
        <v>654</v>
      </c>
      <c r="F410" t="s">
        <v>668</v>
      </c>
      <c r="G410" t="s">
        <v>701</v>
      </c>
      <c r="H410" t="s">
        <v>710</v>
      </c>
      <c r="I410" t="s">
        <v>723</v>
      </c>
      <c r="J410" t="s">
        <v>731</v>
      </c>
      <c r="K410" t="s">
        <v>1141</v>
      </c>
      <c r="L410">
        <v>475.66</v>
      </c>
      <c r="M410">
        <v>529.14</v>
      </c>
      <c r="N410">
        <v>0.19600000000000001</v>
      </c>
      <c r="O410">
        <v>11</v>
      </c>
    </row>
    <row r="411" spans="1:15" x14ac:dyDescent="0.25">
      <c r="A411" t="s">
        <v>423</v>
      </c>
      <c r="B411" s="2">
        <v>45276</v>
      </c>
      <c r="C411" s="2">
        <v>45279</v>
      </c>
      <c r="D411" t="s">
        <v>647</v>
      </c>
      <c r="E411" t="s">
        <v>659</v>
      </c>
      <c r="F411" t="s">
        <v>699</v>
      </c>
      <c r="G411" t="s">
        <v>702</v>
      </c>
      <c r="H411" t="s">
        <v>707</v>
      </c>
      <c r="I411" t="s">
        <v>720</v>
      </c>
      <c r="J411" t="s">
        <v>733</v>
      </c>
      <c r="K411" t="s">
        <v>1142</v>
      </c>
      <c r="L411">
        <v>1415.05</v>
      </c>
      <c r="M411">
        <v>1972.38</v>
      </c>
      <c r="N411">
        <v>0</v>
      </c>
      <c r="O411">
        <v>12</v>
      </c>
    </row>
    <row r="412" spans="1:15" x14ac:dyDescent="0.25">
      <c r="A412" t="s">
        <v>424</v>
      </c>
      <c r="B412" s="2">
        <v>45534</v>
      </c>
      <c r="C412" s="2">
        <v>45540</v>
      </c>
      <c r="D412" t="s">
        <v>647</v>
      </c>
      <c r="E412" t="s">
        <v>652</v>
      </c>
      <c r="F412" t="s">
        <v>694</v>
      </c>
      <c r="G412" t="s">
        <v>702</v>
      </c>
      <c r="H412" t="s">
        <v>708</v>
      </c>
      <c r="I412" t="s">
        <v>725</v>
      </c>
      <c r="J412" t="s">
        <v>731</v>
      </c>
      <c r="K412" t="s">
        <v>1143</v>
      </c>
      <c r="L412">
        <v>466.16</v>
      </c>
      <c r="M412">
        <v>876.81</v>
      </c>
      <c r="N412">
        <v>0.24099999999999999</v>
      </c>
      <c r="O412">
        <v>8</v>
      </c>
    </row>
    <row r="413" spans="1:15" x14ac:dyDescent="0.25">
      <c r="A413" t="s">
        <v>425</v>
      </c>
      <c r="B413" s="2">
        <v>45430</v>
      </c>
      <c r="C413" s="2">
        <v>45433</v>
      </c>
      <c r="D413" t="s">
        <v>649</v>
      </c>
      <c r="E413" t="s">
        <v>657</v>
      </c>
      <c r="F413" t="s">
        <v>673</v>
      </c>
      <c r="G413" t="s">
        <v>703</v>
      </c>
      <c r="H413" t="s">
        <v>709</v>
      </c>
      <c r="I413" t="s">
        <v>726</v>
      </c>
      <c r="J413" t="s">
        <v>728</v>
      </c>
      <c r="K413" t="s">
        <v>1144</v>
      </c>
      <c r="L413">
        <v>663.66</v>
      </c>
      <c r="M413">
        <v>824.26</v>
      </c>
      <c r="N413">
        <v>0.23899999999999999</v>
      </c>
      <c r="O413">
        <v>11</v>
      </c>
    </row>
    <row r="414" spans="1:15" x14ac:dyDescent="0.25">
      <c r="A414" t="s">
        <v>426</v>
      </c>
      <c r="B414" s="2">
        <v>45002</v>
      </c>
      <c r="C414" s="2">
        <v>45022</v>
      </c>
      <c r="D414" t="s">
        <v>649</v>
      </c>
      <c r="E414" t="s">
        <v>656</v>
      </c>
      <c r="F414" t="s">
        <v>684</v>
      </c>
      <c r="G414" t="s">
        <v>704</v>
      </c>
      <c r="H414" t="s">
        <v>707</v>
      </c>
      <c r="I414" t="s">
        <v>719</v>
      </c>
      <c r="J414" t="s">
        <v>730</v>
      </c>
      <c r="K414" t="s">
        <v>1145</v>
      </c>
      <c r="L414">
        <v>692.18</v>
      </c>
      <c r="M414">
        <v>1159.3499999999999</v>
      </c>
      <c r="N414">
        <v>0.112</v>
      </c>
      <c r="O414">
        <v>2</v>
      </c>
    </row>
    <row r="415" spans="1:15" x14ac:dyDescent="0.25">
      <c r="A415" t="s">
        <v>427</v>
      </c>
      <c r="B415" s="2">
        <v>45163</v>
      </c>
      <c r="C415" s="2">
        <v>45185</v>
      </c>
      <c r="D415" t="s">
        <v>646</v>
      </c>
      <c r="E415" t="s">
        <v>651</v>
      </c>
      <c r="F415" t="s">
        <v>669</v>
      </c>
      <c r="G415" t="s">
        <v>701</v>
      </c>
      <c r="H415" t="s">
        <v>709</v>
      </c>
      <c r="I415" t="s">
        <v>716</v>
      </c>
      <c r="J415" t="s">
        <v>730</v>
      </c>
      <c r="K415" t="s">
        <v>1146</v>
      </c>
      <c r="L415">
        <v>1196.83</v>
      </c>
      <c r="M415">
        <v>2513.5100000000002</v>
      </c>
      <c r="N415">
        <v>8.3000000000000004E-2</v>
      </c>
      <c r="O415">
        <v>7</v>
      </c>
    </row>
    <row r="416" spans="1:15" x14ac:dyDescent="0.25">
      <c r="A416" t="s">
        <v>428</v>
      </c>
      <c r="B416" s="2">
        <v>45449</v>
      </c>
      <c r="C416" s="2">
        <v>45467</v>
      </c>
      <c r="D416" t="s">
        <v>647</v>
      </c>
      <c r="E416" t="s">
        <v>654</v>
      </c>
      <c r="F416" t="s">
        <v>668</v>
      </c>
      <c r="G416" t="s">
        <v>705</v>
      </c>
      <c r="H416" t="s">
        <v>711</v>
      </c>
      <c r="I416" t="s">
        <v>722</v>
      </c>
      <c r="J416" t="s">
        <v>729</v>
      </c>
      <c r="K416" t="s">
        <v>1147</v>
      </c>
      <c r="L416">
        <v>1253.25</v>
      </c>
      <c r="M416">
        <v>3087.13</v>
      </c>
      <c r="N416">
        <v>7.1999999999999995E-2</v>
      </c>
      <c r="O416">
        <v>11</v>
      </c>
    </row>
    <row r="417" spans="1:15" x14ac:dyDescent="0.25">
      <c r="A417" t="s">
        <v>429</v>
      </c>
      <c r="B417" s="2">
        <v>45167</v>
      </c>
      <c r="C417" s="2">
        <v>45182</v>
      </c>
      <c r="D417" t="s">
        <v>648</v>
      </c>
      <c r="E417" t="s">
        <v>653</v>
      </c>
      <c r="F417" t="s">
        <v>688</v>
      </c>
      <c r="G417" t="s">
        <v>705</v>
      </c>
      <c r="H417" t="s">
        <v>709</v>
      </c>
      <c r="I417" t="s">
        <v>719</v>
      </c>
      <c r="J417" t="s">
        <v>728</v>
      </c>
      <c r="K417" t="s">
        <v>1148</v>
      </c>
      <c r="L417">
        <v>1287.6400000000001</v>
      </c>
      <c r="M417">
        <v>2717.15</v>
      </c>
      <c r="N417">
        <v>3.2000000000000001E-2</v>
      </c>
      <c r="O417">
        <v>7</v>
      </c>
    </row>
    <row r="418" spans="1:15" x14ac:dyDescent="0.25">
      <c r="A418" t="s">
        <v>430</v>
      </c>
      <c r="B418" s="2">
        <v>45626</v>
      </c>
      <c r="C418" s="2">
        <v>45636</v>
      </c>
      <c r="D418" t="s">
        <v>647</v>
      </c>
      <c r="E418" t="s">
        <v>654</v>
      </c>
      <c r="F418" t="s">
        <v>696</v>
      </c>
      <c r="G418" t="s">
        <v>705</v>
      </c>
      <c r="H418" t="s">
        <v>707</v>
      </c>
      <c r="I418" t="s">
        <v>721</v>
      </c>
      <c r="J418" t="s">
        <v>733</v>
      </c>
      <c r="K418" t="s">
        <v>1149</v>
      </c>
      <c r="L418">
        <v>851.49</v>
      </c>
      <c r="M418">
        <v>901.79</v>
      </c>
      <c r="N418">
        <v>0.245</v>
      </c>
      <c r="O418">
        <v>16</v>
      </c>
    </row>
    <row r="419" spans="1:15" x14ac:dyDescent="0.25">
      <c r="A419" t="s">
        <v>431</v>
      </c>
      <c r="B419" s="2">
        <v>45813</v>
      </c>
      <c r="C419" s="2">
        <v>45822</v>
      </c>
      <c r="D419" t="s">
        <v>647</v>
      </c>
      <c r="E419" t="s">
        <v>654</v>
      </c>
      <c r="F419" t="s">
        <v>680</v>
      </c>
      <c r="G419" t="s">
        <v>703</v>
      </c>
      <c r="H419" t="s">
        <v>707</v>
      </c>
      <c r="I419" t="s">
        <v>720</v>
      </c>
      <c r="J419" t="s">
        <v>733</v>
      </c>
      <c r="K419" t="s">
        <v>1150</v>
      </c>
      <c r="L419">
        <v>618.69000000000005</v>
      </c>
      <c r="M419">
        <v>796.15</v>
      </c>
      <c r="N419">
        <v>0.09</v>
      </c>
      <c r="O419">
        <v>11</v>
      </c>
    </row>
    <row r="420" spans="1:15" x14ac:dyDescent="0.25">
      <c r="A420" t="s">
        <v>432</v>
      </c>
      <c r="B420" s="2">
        <v>45730</v>
      </c>
      <c r="C420" s="2">
        <v>45755</v>
      </c>
      <c r="D420" t="s">
        <v>647</v>
      </c>
      <c r="E420" t="s">
        <v>659</v>
      </c>
      <c r="G420" t="s">
        <v>701</v>
      </c>
      <c r="H420" t="s">
        <v>710</v>
      </c>
      <c r="I420" t="s">
        <v>726</v>
      </c>
      <c r="J420" t="s">
        <v>728</v>
      </c>
      <c r="K420" t="s">
        <v>1151</v>
      </c>
      <c r="L420">
        <v>80.59</v>
      </c>
      <c r="M420">
        <v>157.82</v>
      </c>
      <c r="N420">
        <v>0.217</v>
      </c>
      <c r="O420">
        <v>6</v>
      </c>
    </row>
    <row r="421" spans="1:15" x14ac:dyDescent="0.25">
      <c r="A421" t="s">
        <v>433</v>
      </c>
      <c r="B421" s="2">
        <v>45307</v>
      </c>
      <c r="C421" s="2">
        <v>45333</v>
      </c>
      <c r="D421" t="s">
        <v>649</v>
      </c>
      <c r="E421" t="s">
        <v>656</v>
      </c>
      <c r="F421" t="s">
        <v>698</v>
      </c>
      <c r="G421" t="s">
        <v>703</v>
      </c>
      <c r="H421" t="s">
        <v>710</v>
      </c>
      <c r="I421" t="s">
        <v>718</v>
      </c>
      <c r="J421" t="s">
        <v>732</v>
      </c>
      <c r="K421" t="s">
        <v>1152</v>
      </c>
      <c r="L421">
        <v>504.93</v>
      </c>
      <c r="M421">
        <v>819.06</v>
      </c>
      <c r="N421">
        <v>0.22600000000000001</v>
      </c>
      <c r="O421">
        <v>15</v>
      </c>
    </row>
    <row r="422" spans="1:15" x14ac:dyDescent="0.25">
      <c r="A422" t="s">
        <v>434</v>
      </c>
      <c r="B422" s="2">
        <v>45211</v>
      </c>
      <c r="C422" s="2">
        <v>45228</v>
      </c>
      <c r="D422" t="s">
        <v>647</v>
      </c>
      <c r="E422" t="s">
        <v>652</v>
      </c>
      <c r="F422" t="s">
        <v>694</v>
      </c>
      <c r="G422" t="s">
        <v>703</v>
      </c>
      <c r="H422" t="s">
        <v>711</v>
      </c>
      <c r="I422" t="s">
        <v>722</v>
      </c>
      <c r="J422" t="s">
        <v>730</v>
      </c>
      <c r="K422" t="s">
        <v>1153</v>
      </c>
      <c r="L422">
        <v>1102.19</v>
      </c>
      <c r="M422">
        <v>1711.16</v>
      </c>
      <c r="N422">
        <v>0.151</v>
      </c>
      <c r="O422">
        <v>10</v>
      </c>
    </row>
    <row r="423" spans="1:15" x14ac:dyDescent="0.25">
      <c r="A423" t="s">
        <v>435</v>
      </c>
      <c r="B423" s="2">
        <v>45713</v>
      </c>
      <c r="C423" s="2">
        <v>45733</v>
      </c>
      <c r="D423" t="s">
        <v>648</v>
      </c>
      <c r="E423" t="s">
        <v>660</v>
      </c>
      <c r="F423" t="s">
        <v>686</v>
      </c>
      <c r="G423" t="s">
        <v>703</v>
      </c>
      <c r="H423" t="s">
        <v>709</v>
      </c>
      <c r="I423" t="s">
        <v>722</v>
      </c>
      <c r="J423" t="s">
        <v>730</v>
      </c>
      <c r="K423" t="s">
        <v>1154</v>
      </c>
      <c r="L423">
        <v>1205.26</v>
      </c>
      <c r="M423">
        <v>1696.35</v>
      </c>
      <c r="N423">
        <v>1.9E-2</v>
      </c>
      <c r="O423">
        <v>6</v>
      </c>
    </row>
    <row r="424" spans="1:15" x14ac:dyDescent="0.25">
      <c r="A424" t="s">
        <v>436</v>
      </c>
      <c r="B424" s="2">
        <v>45841</v>
      </c>
      <c r="C424" s="2">
        <v>45844</v>
      </c>
      <c r="D424" t="s">
        <v>646</v>
      </c>
      <c r="E424" t="s">
        <v>651</v>
      </c>
      <c r="F424" t="s">
        <v>665</v>
      </c>
      <c r="G424" t="s">
        <v>704</v>
      </c>
      <c r="H424" t="s">
        <v>708</v>
      </c>
      <c r="J424" t="s">
        <v>731</v>
      </c>
      <c r="K424" t="s">
        <v>1155</v>
      </c>
      <c r="L424">
        <v>1313.3</v>
      </c>
      <c r="M424">
        <v>2884.34</v>
      </c>
      <c r="N424">
        <v>0.157</v>
      </c>
      <c r="O424">
        <v>42</v>
      </c>
    </row>
    <row r="425" spans="1:15" x14ac:dyDescent="0.25">
      <c r="A425" t="s">
        <v>437</v>
      </c>
      <c r="B425" s="2">
        <v>45915</v>
      </c>
      <c r="C425" s="2">
        <v>45925</v>
      </c>
      <c r="D425" t="s">
        <v>647</v>
      </c>
      <c r="E425" t="s">
        <v>654</v>
      </c>
      <c r="F425" t="s">
        <v>680</v>
      </c>
      <c r="G425" t="s">
        <v>704</v>
      </c>
      <c r="H425" t="s">
        <v>707</v>
      </c>
      <c r="I425" t="s">
        <v>720</v>
      </c>
      <c r="J425" t="s">
        <v>730</v>
      </c>
      <c r="K425" t="s">
        <v>1156</v>
      </c>
      <c r="L425">
        <v>1488.91</v>
      </c>
      <c r="M425">
        <v>1483.74</v>
      </c>
      <c r="N425">
        <v>0.16800000000000001</v>
      </c>
      <c r="O425">
        <v>24</v>
      </c>
    </row>
    <row r="426" spans="1:15" x14ac:dyDescent="0.25">
      <c r="A426" t="s">
        <v>438</v>
      </c>
      <c r="B426" s="2">
        <v>45341</v>
      </c>
      <c r="C426" s="2">
        <v>45357</v>
      </c>
      <c r="D426" t="s">
        <v>647</v>
      </c>
      <c r="E426" t="s">
        <v>659</v>
      </c>
      <c r="F426" t="s">
        <v>699</v>
      </c>
      <c r="G426" t="s">
        <v>702</v>
      </c>
      <c r="H426" t="s">
        <v>709</v>
      </c>
      <c r="I426" t="s">
        <v>719</v>
      </c>
      <c r="J426" t="s">
        <v>728</v>
      </c>
      <c r="K426" t="s">
        <v>1157</v>
      </c>
      <c r="L426">
        <v>1477.84</v>
      </c>
      <c r="M426">
        <v>3197.47</v>
      </c>
      <c r="N426">
        <v>0.24299999999999999</v>
      </c>
      <c r="O426">
        <v>24</v>
      </c>
    </row>
    <row r="427" spans="1:15" x14ac:dyDescent="0.25">
      <c r="A427" t="s">
        <v>439</v>
      </c>
      <c r="B427" s="2">
        <v>45349</v>
      </c>
      <c r="C427" s="2">
        <v>45377</v>
      </c>
      <c r="D427" t="s">
        <v>647</v>
      </c>
      <c r="E427" t="s">
        <v>654</v>
      </c>
      <c r="F427" t="s">
        <v>691</v>
      </c>
      <c r="G427" t="s">
        <v>702</v>
      </c>
      <c r="H427" t="s">
        <v>709</v>
      </c>
      <c r="I427" t="s">
        <v>715</v>
      </c>
      <c r="J427" t="s">
        <v>731</v>
      </c>
      <c r="K427" t="s">
        <v>1158</v>
      </c>
      <c r="L427">
        <v>1035.19</v>
      </c>
      <c r="M427">
        <v>2322.6999999999998</v>
      </c>
      <c r="N427">
        <v>0.17299999999999999</v>
      </c>
      <c r="O427">
        <v>8</v>
      </c>
    </row>
    <row r="428" spans="1:15" x14ac:dyDescent="0.25">
      <c r="A428" t="s">
        <v>440</v>
      </c>
      <c r="B428" s="2">
        <v>45897</v>
      </c>
      <c r="C428" s="2">
        <v>45905</v>
      </c>
      <c r="D428" t="s">
        <v>646</v>
      </c>
      <c r="E428" t="s">
        <v>651</v>
      </c>
      <c r="F428" t="s">
        <v>663</v>
      </c>
      <c r="G428" t="s">
        <v>705</v>
      </c>
      <c r="H428" t="s">
        <v>709</v>
      </c>
      <c r="I428" t="s">
        <v>718</v>
      </c>
      <c r="J428" t="s">
        <v>731</v>
      </c>
      <c r="K428" t="s">
        <v>1159</v>
      </c>
      <c r="L428">
        <v>1271.0999999999999</v>
      </c>
      <c r="M428">
        <v>1932.42</v>
      </c>
      <c r="N428">
        <v>0.25</v>
      </c>
      <c r="O428">
        <v>21</v>
      </c>
    </row>
    <row r="429" spans="1:15" x14ac:dyDescent="0.25">
      <c r="A429" t="s">
        <v>441</v>
      </c>
      <c r="B429" s="2">
        <v>45522</v>
      </c>
      <c r="C429" s="2">
        <v>45547</v>
      </c>
      <c r="D429" t="s">
        <v>647</v>
      </c>
      <c r="E429" t="s">
        <v>654</v>
      </c>
      <c r="F429" t="s">
        <v>691</v>
      </c>
      <c r="G429" t="s">
        <v>704</v>
      </c>
      <c r="H429" t="s">
        <v>709</v>
      </c>
      <c r="I429" t="s">
        <v>712</v>
      </c>
      <c r="J429" t="s">
        <v>730</v>
      </c>
      <c r="K429" t="s">
        <v>1160</v>
      </c>
      <c r="L429">
        <v>1154.03</v>
      </c>
      <c r="M429">
        <v>1590.36</v>
      </c>
      <c r="N429">
        <v>0.314</v>
      </c>
      <c r="O429">
        <v>18</v>
      </c>
    </row>
    <row r="430" spans="1:15" x14ac:dyDescent="0.25">
      <c r="A430" t="s">
        <v>442</v>
      </c>
      <c r="B430" s="2">
        <v>45347</v>
      </c>
      <c r="C430" s="2">
        <v>45360</v>
      </c>
      <c r="D430" t="s">
        <v>649</v>
      </c>
      <c r="E430" t="s">
        <v>657</v>
      </c>
      <c r="F430" t="s">
        <v>673</v>
      </c>
      <c r="G430" t="s">
        <v>705</v>
      </c>
      <c r="H430" t="s">
        <v>710</v>
      </c>
      <c r="I430" t="s">
        <v>718</v>
      </c>
      <c r="J430" t="s">
        <v>732</v>
      </c>
      <c r="K430" t="s">
        <v>1161</v>
      </c>
      <c r="L430">
        <v>322.44</v>
      </c>
      <c r="M430">
        <v>395.61</v>
      </c>
      <c r="N430">
        <v>0</v>
      </c>
      <c r="O430">
        <v>34</v>
      </c>
    </row>
    <row r="431" spans="1:15" x14ac:dyDescent="0.25">
      <c r="A431" t="s">
        <v>443</v>
      </c>
      <c r="B431" s="2">
        <v>45784</v>
      </c>
      <c r="C431" s="2">
        <v>45790</v>
      </c>
      <c r="D431" t="s">
        <v>647</v>
      </c>
      <c r="E431" t="s">
        <v>654</v>
      </c>
      <c r="F431" t="s">
        <v>668</v>
      </c>
      <c r="G431" t="s">
        <v>706</v>
      </c>
      <c r="H431" t="s">
        <v>711</v>
      </c>
      <c r="I431" t="s">
        <v>713</v>
      </c>
      <c r="J431" t="s">
        <v>730</v>
      </c>
      <c r="K431" t="s">
        <v>1162</v>
      </c>
      <c r="L431">
        <v>935.98</v>
      </c>
      <c r="M431">
        <v>2077.69</v>
      </c>
      <c r="N431">
        <v>0.17499999999999999</v>
      </c>
      <c r="O431">
        <v>24</v>
      </c>
    </row>
    <row r="432" spans="1:15" x14ac:dyDescent="0.25">
      <c r="A432" t="s">
        <v>444</v>
      </c>
      <c r="B432" s="2">
        <v>45597</v>
      </c>
      <c r="C432" s="2">
        <v>45608</v>
      </c>
      <c r="D432" t="s">
        <v>649</v>
      </c>
      <c r="E432" t="s">
        <v>656</v>
      </c>
      <c r="F432" t="s">
        <v>698</v>
      </c>
      <c r="G432" t="s">
        <v>704</v>
      </c>
      <c r="H432" t="s">
        <v>708</v>
      </c>
      <c r="I432" t="s">
        <v>717</v>
      </c>
      <c r="J432" t="s">
        <v>728</v>
      </c>
      <c r="K432" t="s">
        <v>1163</v>
      </c>
      <c r="L432">
        <v>599.84</v>
      </c>
      <c r="M432">
        <v>1330.85</v>
      </c>
      <c r="N432">
        <v>0.115</v>
      </c>
      <c r="O432">
        <v>11</v>
      </c>
    </row>
    <row r="433" spans="1:15" x14ac:dyDescent="0.25">
      <c r="A433" t="s">
        <v>445</v>
      </c>
      <c r="B433" s="2">
        <v>45654</v>
      </c>
      <c r="C433" s="2">
        <v>45665</v>
      </c>
      <c r="D433" t="s">
        <v>647</v>
      </c>
      <c r="E433" t="s">
        <v>659</v>
      </c>
      <c r="F433" t="s">
        <v>676</v>
      </c>
      <c r="G433" t="s">
        <v>706</v>
      </c>
      <c r="H433" t="s">
        <v>708</v>
      </c>
      <c r="I433" t="s">
        <v>723</v>
      </c>
      <c r="J433" t="s">
        <v>731</v>
      </c>
      <c r="K433" t="s">
        <v>1164</v>
      </c>
      <c r="L433">
        <v>1201.31</v>
      </c>
      <c r="M433">
        <v>2764.65</v>
      </c>
      <c r="N433">
        <v>0</v>
      </c>
      <c r="O433">
        <v>21</v>
      </c>
    </row>
    <row r="434" spans="1:15" x14ac:dyDescent="0.25">
      <c r="A434" t="s">
        <v>446</v>
      </c>
      <c r="B434" s="2">
        <v>45220</v>
      </c>
      <c r="C434" s="2">
        <v>45220</v>
      </c>
      <c r="D434" t="s">
        <v>649</v>
      </c>
      <c r="E434" t="s">
        <v>658</v>
      </c>
      <c r="F434" t="s">
        <v>693</v>
      </c>
      <c r="G434" t="s">
        <v>706</v>
      </c>
      <c r="H434" t="s">
        <v>710</v>
      </c>
      <c r="I434" t="s">
        <v>713</v>
      </c>
      <c r="J434" t="s">
        <v>732</v>
      </c>
      <c r="K434" t="s">
        <v>1165</v>
      </c>
      <c r="L434">
        <v>384.19</v>
      </c>
      <c r="M434">
        <v>278.35000000000002</v>
      </c>
      <c r="N434">
        <v>5.6000000000000001E-2</v>
      </c>
      <c r="O434">
        <v>10</v>
      </c>
    </row>
    <row r="435" spans="1:15" x14ac:dyDescent="0.25">
      <c r="A435" t="s">
        <v>447</v>
      </c>
      <c r="B435" s="2">
        <v>45636</v>
      </c>
      <c r="C435" s="2">
        <v>45645</v>
      </c>
      <c r="D435" t="s">
        <v>646</v>
      </c>
      <c r="E435" t="s">
        <v>651</v>
      </c>
      <c r="F435" t="s">
        <v>665</v>
      </c>
      <c r="G435" t="s">
        <v>701</v>
      </c>
      <c r="H435" t="s">
        <v>707</v>
      </c>
      <c r="I435" t="s">
        <v>719</v>
      </c>
      <c r="J435" t="s">
        <v>732</v>
      </c>
      <c r="K435" t="s">
        <v>1166</v>
      </c>
      <c r="L435">
        <v>488.68</v>
      </c>
      <c r="M435">
        <v>984.36</v>
      </c>
      <c r="N435">
        <v>5.8999999999999997E-2</v>
      </c>
      <c r="O435">
        <v>14</v>
      </c>
    </row>
    <row r="436" spans="1:15" x14ac:dyDescent="0.25">
      <c r="A436" t="s">
        <v>448</v>
      </c>
      <c r="B436" s="2">
        <v>45542</v>
      </c>
      <c r="C436" s="2">
        <v>45553</v>
      </c>
      <c r="D436" t="s">
        <v>647</v>
      </c>
      <c r="E436" t="s">
        <v>659</v>
      </c>
      <c r="F436" t="s">
        <v>699</v>
      </c>
      <c r="G436" t="s">
        <v>704</v>
      </c>
      <c r="H436" t="s">
        <v>710</v>
      </c>
      <c r="I436" t="s">
        <v>719</v>
      </c>
      <c r="J436" t="s">
        <v>729</v>
      </c>
      <c r="K436" t="s">
        <v>1167</v>
      </c>
      <c r="L436">
        <v>181.74</v>
      </c>
      <c r="M436">
        <v>190.84</v>
      </c>
      <c r="N436">
        <v>0.214</v>
      </c>
      <c r="O436">
        <v>13</v>
      </c>
    </row>
    <row r="437" spans="1:15" x14ac:dyDescent="0.25">
      <c r="A437" t="s">
        <v>449</v>
      </c>
      <c r="B437" s="2">
        <v>45217</v>
      </c>
      <c r="C437" s="2">
        <v>45219</v>
      </c>
      <c r="D437" t="s">
        <v>646</v>
      </c>
      <c r="E437" t="s">
        <v>650</v>
      </c>
      <c r="F437" t="s">
        <v>662</v>
      </c>
      <c r="G437" t="s">
        <v>704</v>
      </c>
      <c r="H437" t="s">
        <v>707</v>
      </c>
      <c r="I437" t="s">
        <v>713</v>
      </c>
      <c r="J437" t="s">
        <v>730</v>
      </c>
      <c r="K437" t="s">
        <v>1168</v>
      </c>
      <c r="L437">
        <v>774.12</v>
      </c>
      <c r="M437">
        <v>908.3</v>
      </c>
      <c r="N437">
        <v>0</v>
      </c>
      <c r="O437">
        <v>30</v>
      </c>
    </row>
    <row r="438" spans="1:15" x14ac:dyDescent="0.25">
      <c r="A438" t="s">
        <v>450</v>
      </c>
      <c r="B438" s="2">
        <v>45650</v>
      </c>
      <c r="C438" s="2">
        <v>45670</v>
      </c>
      <c r="D438" t="s">
        <v>647</v>
      </c>
      <c r="E438" t="s">
        <v>654</v>
      </c>
      <c r="F438" t="s">
        <v>668</v>
      </c>
      <c r="G438" t="s">
        <v>701</v>
      </c>
      <c r="H438" t="s">
        <v>709</v>
      </c>
      <c r="I438" t="s">
        <v>726</v>
      </c>
      <c r="J438" t="s">
        <v>729</v>
      </c>
      <c r="K438" t="s">
        <v>1169</v>
      </c>
      <c r="L438">
        <v>126.15</v>
      </c>
      <c r="M438">
        <v>284.23</v>
      </c>
      <c r="N438">
        <v>0.113</v>
      </c>
      <c r="O438">
        <v>22</v>
      </c>
    </row>
    <row r="439" spans="1:15" x14ac:dyDescent="0.25">
      <c r="A439" t="s">
        <v>451</v>
      </c>
      <c r="B439" s="2">
        <v>45037</v>
      </c>
      <c r="C439" s="2">
        <v>45035</v>
      </c>
      <c r="D439" t="s">
        <v>647</v>
      </c>
      <c r="E439" t="s">
        <v>652</v>
      </c>
      <c r="F439" t="s">
        <v>694</v>
      </c>
      <c r="G439" t="s">
        <v>705</v>
      </c>
      <c r="H439" t="s">
        <v>711</v>
      </c>
      <c r="I439" t="s">
        <v>724</v>
      </c>
      <c r="J439" t="s">
        <v>727</v>
      </c>
      <c r="K439" t="s">
        <v>1170</v>
      </c>
      <c r="L439">
        <v>607.04</v>
      </c>
      <c r="M439">
        <v>1229.3399999999999</v>
      </c>
      <c r="N439">
        <v>0.14699999999999999</v>
      </c>
      <c r="O439">
        <v>7</v>
      </c>
    </row>
    <row r="440" spans="1:15" x14ac:dyDescent="0.25">
      <c r="A440" t="s">
        <v>452</v>
      </c>
      <c r="B440" s="2">
        <v>45290</v>
      </c>
      <c r="C440" s="2">
        <v>45299</v>
      </c>
      <c r="D440" t="s">
        <v>649</v>
      </c>
      <c r="E440" t="s">
        <v>657</v>
      </c>
      <c r="F440" t="s">
        <v>673</v>
      </c>
      <c r="G440" t="s">
        <v>704</v>
      </c>
      <c r="H440" t="s">
        <v>709</v>
      </c>
      <c r="I440" t="s">
        <v>716</v>
      </c>
      <c r="J440" t="s">
        <v>733</v>
      </c>
      <c r="K440" t="s">
        <v>1171</v>
      </c>
      <c r="L440">
        <v>861.1</v>
      </c>
      <c r="M440">
        <v>1224.72</v>
      </c>
      <c r="N440">
        <v>0.17399999999999999</v>
      </c>
      <c r="O440">
        <v>24</v>
      </c>
    </row>
    <row r="441" spans="1:15" x14ac:dyDescent="0.25">
      <c r="A441" t="s">
        <v>453</v>
      </c>
      <c r="B441" s="2">
        <v>44978</v>
      </c>
      <c r="C441" s="2">
        <v>44997</v>
      </c>
      <c r="D441" t="s">
        <v>646</v>
      </c>
      <c r="E441" t="s">
        <v>650</v>
      </c>
      <c r="F441" t="s">
        <v>678</v>
      </c>
      <c r="G441" t="s">
        <v>701</v>
      </c>
      <c r="H441" t="s">
        <v>708</v>
      </c>
      <c r="I441" t="s">
        <v>721</v>
      </c>
      <c r="J441" t="s">
        <v>729</v>
      </c>
      <c r="K441" t="s">
        <v>1172</v>
      </c>
      <c r="L441">
        <v>352.65</v>
      </c>
      <c r="M441">
        <v>485.86</v>
      </c>
      <c r="N441">
        <v>4.1000000000000002E-2</v>
      </c>
      <c r="O441">
        <v>6</v>
      </c>
    </row>
    <row r="442" spans="1:15" x14ac:dyDescent="0.25">
      <c r="A442" t="s">
        <v>454</v>
      </c>
      <c r="B442" s="2">
        <v>45063</v>
      </c>
      <c r="C442" s="2">
        <v>45080</v>
      </c>
      <c r="D442" t="s">
        <v>647</v>
      </c>
      <c r="E442" t="s">
        <v>659</v>
      </c>
      <c r="F442" t="s">
        <v>699</v>
      </c>
      <c r="G442" t="s">
        <v>703</v>
      </c>
      <c r="H442" t="s">
        <v>710</v>
      </c>
      <c r="I442" t="s">
        <v>724</v>
      </c>
      <c r="J442" t="s">
        <v>728</v>
      </c>
      <c r="K442" t="s">
        <v>1173</v>
      </c>
      <c r="L442">
        <v>979.59</v>
      </c>
      <c r="M442">
        <v>2210.94</v>
      </c>
      <c r="N442">
        <v>0.15</v>
      </c>
      <c r="O442">
        <v>11</v>
      </c>
    </row>
    <row r="443" spans="1:15" x14ac:dyDescent="0.25">
      <c r="A443" t="s">
        <v>455</v>
      </c>
      <c r="B443" s="2">
        <v>45374</v>
      </c>
      <c r="C443" s="2">
        <v>45377</v>
      </c>
      <c r="D443" t="s">
        <v>647</v>
      </c>
      <c r="E443" t="s">
        <v>654</v>
      </c>
      <c r="F443" t="s">
        <v>668</v>
      </c>
      <c r="G443" t="s">
        <v>702</v>
      </c>
      <c r="H443" t="s">
        <v>711</v>
      </c>
      <c r="I443" t="s">
        <v>715</v>
      </c>
      <c r="J443" t="s">
        <v>730</v>
      </c>
      <c r="K443" t="s">
        <v>1174</v>
      </c>
      <c r="L443">
        <v>382.21</v>
      </c>
      <c r="M443">
        <v>571.89</v>
      </c>
      <c r="N443">
        <v>0.14799999999999999</v>
      </c>
      <c r="O443">
        <v>26</v>
      </c>
    </row>
    <row r="444" spans="1:15" x14ac:dyDescent="0.25">
      <c r="A444" t="s">
        <v>456</v>
      </c>
      <c r="B444" s="2">
        <v>45189</v>
      </c>
      <c r="C444" s="2">
        <v>45197</v>
      </c>
      <c r="D444" t="s">
        <v>647</v>
      </c>
      <c r="E444" t="s">
        <v>654</v>
      </c>
      <c r="G444" t="s">
        <v>701</v>
      </c>
      <c r="I444" t="s">
        <v>717</v>
      </c>
      <c r="J444" t="s">
        <v>733</v>
      </c>
      <c r="K444" t="s">
        <v>1175</v>
      </c>
      <c r="L444">
        <v>1362.06</v>
      </c>
      <c r="M444">
        <v>3398.37</v>
      </c>
      <c r="N444">
        <v>0.157</v>
      </c>
      <c r="O444">
        <v>11</v>
      </c>
    </row>
    <row r="445" spans="1:15" x14ac:dyDescent="0.25">
      <c r="A445" t="s">
        <v>457</v>
      </c>
      <c r="B445" s="2">
        <v>45526</v>
      </c>
      <c r="C445" s="2">
        <v>45539</v>
      </c>
      <c r="D445" t="s">
        <v>649</v>
      </c>
      <c r="E445" t="s">
        <v>656</v>
      </c>
      <c r="F445" t="s">
        <v>698</v>
      </c>
      <c r="G445" t="s">
        <v>703</v>
      </c>
      <c r="H445" t="s">
        <v>707</v>
      </c>
      <c r="I445" t="s">
        <v>716</v>
      </c>
      <c r="J445" t="s">
        <v>728</v>
      </c>
      <c r="K445" t="s">
        <v>1176</v>
      </c>
      <c r="L445">
        <v>90.04</v>
      </c>
      <c r="M445">
        <v>194.62</v>
      </c>
      <c r="N445">
        <v>4.2999999999999997E-2</v>
      </c>
      <c r="O445">
        <v>32</v>
      </c>
    </row>
    <row r="446" spans="1:15" x14ac:dyDescent="0.25">
      <c r="A446" t="s">
        <v>458</v>
      </c>
      <c r="B446" s="2">
        <v>45560</v>
      </c>
      <c r="C446" s="2">
        <v>45568</v>
      </c>
      <c r="D446" t="s">
        <v>648</v>
      </c>
      <c r="E446" t="s">
        <v>653</v>
      </c>
      <c r="F446" t="s">
        <v>667</v>
      </c>
      <c r="G446" t="s">
        <v>704</v>
      </c>
      <c r="H446" t="s">
        <v>708</v>
      </c>
      <c r="I446" t="s">
        <v>718</v>
      </c>
      <c r="J446" t="s">
        <v>728</v>
      </c>
      <c r="K446" t="s">
        <v>1177</v>
      </c>
      <c r="L446">
        <v>558.19000000000005</v>
      </c>
      <c r="M446">
        <v>1031.6400000000001</v>
      </c>
      <c r="N446">
        <v>0</v>
      </c>
      <c r="O446">
        <v>21</v>
      </c>
    </row>
    <row r="447" spans="1:15" x14ac:dyDescent="0.25">
      <c r="A447" t="s">
        <v>459</v>
      </c>
      <c r="B447" s="2">
        <v>45090</v>
      </c>
      <c r="C447" s="2">
        <v>45101</v>
      </c>
      <c r="D447" t="s">
        <v>648</v>
      </c>
      <c r="E447" t="s">
        <v>653</v>
      </c>
      <c r="F447" t="s">
        <v>667</v>
      </c>
      <c r="G447" t="s">
        <v>701</v>
      </c>
      <c r="H447" t="s">
        <v>708</v>
      </c>
      <c r="I447" t="s">
        <v>712</v>
      </c>
      <c r="J447" t="s">
        <v>728</v>
      </c>
      <c r="K447" t="s">
        <v>1178</v>
      </c>
      <c r="L447">
        <v>247.07</v>
      </c>
      <c r="M447">
        <v>495.19</v>
      </c>
      <c r="N447">
        <v>2.8000000000000001E-2</v>
      </c>
      <c r="O447">
        <v>4</v>
      </c>
    </row>
    <row r="448" spans="1:15" x14ac:dyDescent="0.25">
      <c r="A448" t="s">
        <v>460</v>
      </c>
      <c r="B448" s="2">
        <v>45284</v>
      </c>
      <c r="C448" s="2">
        <v>45304</v>
      </c>
      <c r="D448" t="s">
        <v>647</v>
      </c>
      <c r="E448" t="s">
        <v>652</v>
      </c>
      <c r="F448" t="s">
        <v>694</v>
      </c>
      <c r="G448" t="s">
        <v>702</v>
      </c>
      <c r="H448" t="s">
        <v>711</v>
      </c>
      <c r="I448" t="s">
        <v>717</v>
      </c>
      <c r="J448" t="s">
        <v>731</v>
      </c>
      <c r="K448" t="s">
        <v>1179</v>
      </c>
      <c r="L448">
        <v>625.37</v>
      </c>
      <c r="M448">
        <v>1319.04</v>
      </c>
      <c r="N448">
        <v>7.3999999999999996E-2</v>
      </c>
      <c r="O448">
        <v>8</v>
      </c>
    </row>
    <row r="449" spans="1:15" x14ac:dyDescent="0.25">
      <c r="A449" t="s">
        <v>461</v>
      </c>
      <c r="B449" s="2">
        <v>45746</v>
      </c>
      <c r="C449" s="2">
        <v>45776</v>
      </c>
      <c r="D449" t="s">
        <v>646</v>
      </c>
      <c r="E449" t="s">
        <v>661</v>
      </c>
      <c r="F449" t="s">
        <v>687</v>
      </c>
      <c r="G449" t="s">
        <v>704</v>
      </c>
      <c r="H449" t="s">
        <v>709</v>
      </c>
      <c r="I449" t="s">
        <v>713</v>
      </c>
      <c r="J449" t="s">
        <v>732</v>
      </c>
      <c r="K449" t="s">
        <v>1180</v>
      </c>
      <c r="L449">
        <v>194.6</v>
      </c>
      <c r="M449">
        <v>314.87</v>
      </c>
      <c r="N449">
        <v>0.29299999999999998</v>
      </c>
      <c r="O449">
        <v>25</v>
      </c>
    </row>
    <row r="450" spans="1:15" x14ac:dyDescent="0.25">
      <c r="A450" t="s">
        <v>462</v>
      </c>
      <c r="B450" s="2">
        <v>45446</v>
      </c>
      <c r="C450" s="2">
        <v>45467</v>
      </c>
      <c r="D450" t="s">
        <v>648</v>
      </c>
      <c r="E450" t="s">
        <v>653</v>
      </c>
      <c r="F450" t="s">
        <v>667</v>
      </c>
      <c r="G450" t="s">
        <v>705</v>
      </c>
      <c r="H450" t="s">
        <v>711</v>
      </c>
      <c r="I450" t="s">
        <v>715</v>
      </c>
      <c r="J450" t="s">
        <v>732</v>
      </c>
      <c r="K450" t="s">
        <v>1181</v>
      </c>
      <c r="L450">
        <v>1205.5</v>
      </c>
      <c r="M450">
        <v>2210.17</v>
      </c>
      <c r="N450">
        <v>0.104</v>
      </c>
      <c r="O450">
        <v>23</v>
      </c>
    </row>
    <row r="451" spans="1:15" x14ac:dyDescent="0.25">
      <c r="A451" t="s">
        <v>463</v>
      </c>
      <c r="B451" s="2">
        <v>45454</v>
      </c>
      <c r="C451" s="2">
        <v>45482</v>
      </c>
      <c r="D451" t="s">
        <v>646</v>
      </c>
      <c r="E451" t="s">
        <v>651</v>
      </c>
      <c r="F451" t="s">
        <v>663</v>
      </c>
      <c r="G451" t="s">
        <v>701</v>
      </c>
      <c r="H451" t="s">
        <v>709</v>
      </c>
      <c r="I451" t="s">
        <v>714</v>
      </c>
      <c r="J451" t="s">
        <v>730</v>
      </c>
      <c r="K451" t="s">
        <v>1182</v>
      </c>
      <c r="L451">
        <v>895.54</v>
      </c>
      <c r="M451">
        <v>1045</v>
      </c>
      <c r="N451">
        <v>0.216</v>
      </c>
      <c r="O451">
        <v>15</v>
      </c>
    </row>
    <row r="452" spans="1:15" x14ac:dyDescent="0.25">
      <c r="A452" t="s">
        <v>464</v>
      </c>
      <c r="B452" s="2">
        <v>45129</v>
      </c>
      <c r="C452" s="2">
        <v>45128</v>
      </c>
      <c r="D452" t="s">
        <v>647</v>
      </c>
      <c r="E452" t="s">
        <v>654</v>
      </c>
      <c r="F452" t="s">
        <v>680</v>
      </c>
      <c r="G452" t="s">
        <v>705</v>
      </c>
      <c r="H452" t="s">
        <v>710</v>
      </c>
      <c r="I452" t="s">
        <v>718</v>
      </c>
      <c r="J452" t="s">
        <v>728</v>
      </c>
      <c r="K452" t="s">
        <v>1183</v>
      </c>
      <c r="L452">
        <v>946.99</v>
      </c>
      <c r="M452">
        <v>2132.19</v>
      </c>
      <c r="N452">
        <v>0.16500000000000001</v>
      </c>
      <c r="O452">
        <v>7</v>
      </c>
    </row>
    <row r="453" spans="1:15" x14ac:dyDescent="0.25">
      <c r="A453" t="s">
        <v>465</v>
      </c>
      <c r="B453" s="2">
        <v>44945</v>
      </c>
      <c r="C453" s="2">
        <v>44960</v>
      </c>
      <c r="D453" t="s">
        <v>649</v>
      </c>
      <c r="E453" t="s">
        <v>658</v>
      </c>
      <c r="F453" t="s">
        <v>683</v>
      </c>
      <c r="G453" t="s">
        <v>706</v>
      </c>
      <c r="H453" t="s">
        <v>710</v>
      </c>
      <c r="I453" t="s">
        <v>715</v>
      </c>
      <c r="J453" t="s">
        <v>733</v>
      </c>
      <c r="K453" t="s">
        <v>1184</v>
      </c>
      <c r="L453">
        <v>873.06</v>
      </c>
      <c r="M453">
        <v>2101.5500000000002</v>
      </c>
      <c r="N453">
        <v>6.6000000000000003E-2</v>
      </c>
      <c r="O453">
        <v>10</v>
      </c>
    </row>
    <row r="454" spans="1:15" x14ac:dyDescent="0.25">
      <c r="A454" t="s">
        <v>466</v>
      </c>
      <c r="B454" s="2">
        <v>45413</v>
      </c>
      <c r="C454" s="2">
        <v>45428</v>
      </c>
      <c r="D454" t="s">
        <v>647</v>
      </c>
      <c r="E454" t="s">
        <v>654</v>
      </c>
      <c r="F454" t="s">
        <v>668</v>
      </c>
      <c r="G454" t="s">
        <v>705</v>
      </c>
      <c r="H454" t="s">
        <v>707</v>
      </c>
      <c r="I454" t="s">
        <v>716</v>
      </c>
      <c r="J454" t="s">
        <v>727</v>
      </c>
      <c r="K454" t="s">
        <v>1185</v>
      </c>
      <c r="L454">
        <v>901.19</v>
      </c>
      <c r="M454">
        <v>2125.44</v>
      </c>
      <c r="N454">
        <v>7.0999999999999994E-2</v>
      </c>
      <c r="O454">
        <v>12</v>
      </c>
    </row>
    <row r="455" spans="1:15" x14ac:dyDescent="0.25">
      <c r="A455" t="s">
        <v>467</v>
      </c>
      <c r="B455" s="2">
        <v>45817</v>
      </c>
      <c r="C455" s="2">
        <v>45832</v>
      </c>
      <c r="D455" t="s">
        <v>647</v>
      </c>
      <c r="E455" t="s">
        <v>652</v>
      </c>
      <c r="F455" t="s">
        <v>694</v>
      </c>
      <c r="G455" t="s">
        <v>701</v>
      </c>
      <c r="H455" t="s">
        <v>711</v>
      </c>
      <c r="I455" t="s">
        <v>717</v>
      </c>
      <c r="J455" t="s">
        <v>730</v>
      </c>
      <c r="K455" t="s">
        <v>1186</v>
      </c>
      <c r="L455">
        <v>400.39</v>
      </c>
      <c r="M455">
        <v>712.75</v>
      </c>
      <c r="N455">
        <v>0.115</v>
      </c>
      <c r="O455">
        <v>19</v>
      </c>
    </row>
    <row r="456" spans="1:15" x14ac:dyDescent="0.25">
      <c r="A456" t="s">
        <v>468</v>
      </c>
      <c r="B456" s="2">
        <v>45070</v>
      </c>
      <c r="C456" s="2">
        <v>45098</v>
      </c>
      <c r="D456" t="s">
        <v>648</v>
      </c>
      <c r="E456" t="s">
        <v>660</v>
      </c>
      <c r="F456" t="s">
        <v>697</v>
      </c>
      <c r="G456" t="s">
        <v>705</v>
      </c>
      <c r="H456" t="s">
        <v>709</v>
      </c>
      <c r="I456" t="s">
        <v>715</v>
      </c>
      <c r="J456" t="s">
        <v>732</v>
      </c>
      <c r="K456" t="s">
        <v>1187</v>
      </c>
      <c r="L456">
        <v>813.97</v>
      </c>
      <c r="M456">
        <v>1568.83</v>
      </c>
      <c r="N456">
        <v>1.7000000000000001E-2</v>
      </c>
      <c r="O456">
        <v>15</v>
      </c>
    </row>
    <row r="457" spans="1:15" x14ac:dyDescent="0.25">
      <c r="A457" t="s">
        <v>469</v>
      </c>
      <c r="B457" s="2">
        <v>45653</v>
      </c>
      <c r="C457" s="2">
        <v>45655</v>
      </c>
      <c r="D457" t="s">
        <v>648</v>
      </c>
      <c r="E457" t="s">
        <v>653</v>
      </c>
      <c r="F457" t="s">
        <v>688</v>
      </c>
      <c r="G457" t="s">
        <v>706</v>
      </c>
      <c r="H457" t="s">
        <v>709</v>
      </c>
      <c r="I457" t="s">
        <v>712</v>
      </c>
      <c r="J457" t="s">
        <v>733</v>
      </c>
      <c r="K457" t="s">
        <v>1188</v>
      </c>
      <c r="L457">
        <v>1146.72</v>
      </c>
      <c r="M457">
        <v>2074.34</v>
      </c>
      <c r="N457">
        <v>0.111</v>
      </c>
      <c r="O457">
        <v>8</v>
      </c>
    </row>
    <row r="458" spans="1:15" x14ac:dyDescent="0.25">
      <c r="A458" t="s">
        <v>470</v>
      </c>
      <c r="B458" s="2">
        <v>45265</v>
      </c>
      <c r="C458" s="2">
        <v>45272</v>
      </c>
      <c r="D458" t="s">
        <v>648</v>
      </c>
      <c r="E458" t="s">
        <v>655</v>
      </c>
      <c r="F458" t="s">
        <v>672</v>
      </c>
      <c r="G458" t="s">
        <v>701</v>
      </c>
      <c r="H458" t="s">
        <v>711</v>
      </c>
      <c r="I458" t="s">
        <v>721</v>
      </c>
      <c r="J458" t="s">
        <v>730</v>
      </c>
      <c r="K458" t="s">
        <v>1189</v>
      </c>
      <c r="L458">
        <v>307.43</v>
      </c>
      <c r="M458">
        <v>495.19</v>
      </c>
      <c r="N458">
        <v>0</v>
      </c>
      <c r="O458">
        <v>42</v>
      </c>
    </row>
    <row r="459" spans="1:15" x14ac:dyDescent="0.25">
      <c r="A459" t="s">
        <v>471</v>
      </c>
      <c r="B459" s="2">
        <v>45048</v>
      </c>
      <c r="C459" s="2">
        <v>45065</v>
      </c>
      <c r="D459" t="s">
        <v>647</v>
      </c>
      <c r="E459" t="s">
        <v>659</v>
      </c>
      <c r="F459" t="s">
        <v>685</v>
      </c>
      <c r="G459" t="s">
        <v>703</v>
      </c>
      <c r="H459" t="s">
        <v>711</v>
      </c>
      <c r="I459" t="s">
        <v>713</v>
      </c>
      <c r="J459" t="s">
        <v>732</v>
      </c>
      <c r="K459" t="s">
        <v>1190</v>
      </c>
      <c r="L459">
        <v>714.28</v>
      </c>
      <c r="M459">
        <v>757.59</v>
      </c>
      <c r="N459">
        <v>0.13600000000000001</v>
      </c>
      <c r="O459">
        <v>12</v>
      </c>
    </row>
    <row r="460" spans="1:15" x14ac:dyDescent="0.25">
      <c r="A460" t="s">
        <v>472</v>
      </c>
      <c r="B460" s="2">
        <v>45260</v>
      </c>
      <c r="C460" s="2">
        <v>45270</v>
      </c>
      <c r="D460" t="s">
        <v>649</v>
      </c>
      <c r="E460" t="s">
        <v>656</v>
      </c>
      <c r="F460" t="s">
        <v>684</v>
      </c>
      <c r="G460" t="s">
        <v>705</v>
      </c>
      <c r="H460" t="s">
        <v>711</v>
      </c>
      <c r="I460" t="s">
        <v>721</v>
      </c>
      <c r="J460" t="s">
        <v>731</v>
      </c>
      <c r="K460" t="s">
        <v>1191</v>
      </c>
      <c r="L460">
        <v>174.74</v>
      </c>
      <c r="M460">
        <v>415.96</v>
      </c>
      <c r="N460">
        <v>0.125</v>
      </c>
      <c r="O460">
        <v>21</v>
      </c>
    </row>
    <row r="461" spans="1:15" x14ac:dyDescent="0.25">
      <c r="A461" t="s">
        <v>473</v>
      </c>
      <c r="B461" s="2">
        <v>45417</v>
      </c>
      <c r="C461" s="2">
        <v>45430</v>
      </c>
      <c r="D461" t="s">
        <v>649</v>
      </c>
      <c r="E461" t="s">
        <v>657</v>
      </c>
      <c r="F461" t="s">
        <v>673</v>
      </c>
      <c r="G461" t="s">
        <v>701</v>
      </c>
      <c r="H461" t="s">
        <v>709</v>
      </c>
      <c r="I461" t="s">
        <v>720</v>
      </c>
      <c r="J461" t="s">
        <v>727</v>
      </c>
      <c r="K461" t="s">
        <v>1192</v>
      </c>
      <c r="L461">
        <v>1264.04</v>
      </c>
      <c r="M461">
        <v>1870.89</v>
      </c>
      <c r="N461">
        <v>0</v>
      </c>
      <c r="O461">
        <v>13</v>
      </c>
    </row>
    <row r="462" spans="1:15" x14ac:dyDescent="0.25">
      <c r="A462" t="s">
        <v>474</v>
      </c>
      <c r="B462" s="2">
        <v>45116</v>
      </c>
      <c r="C462" s="2">
        <v>45126</v>
      </c>
      <c r="D462" t="s">
        <v>647</v>
      </c>
      <c r="E462" t="s">
        <v>652</v>
      </c>
      <c r="F462" t="s">
        <v>689</v>
      </c>
      <c r="G462" t="s">
        <v>706</v>
      </c>
      <c r="H462" t="s">
        <v>710</v>
      </c>
      <c r="I462" t="s">
        <v>725</v>
      </c>
      <c r="J462" t="s">
        <v>727</v>
      </c>
      <c r="K462" t="s">
        <v>1193</v>
      </c>
      <c r="L462">
        <v>141.26</v>
      </c>
      <c r="M462">
        <v>206.88</v>
      </c>
      <c r="N462">
        <v>0.107</v>
      </c>
      <c r="O462">
        <v>9</v>
      </c>
    </row>
    <row r="463" spans="1:15" x14ac:dyDescent="0.25">
      <c r="A463" t="s">
        <v>475</v>
      </c>
      <c r="B463" s="2">
        <v>45063</v>
      </c>
      <c r="C463" s="2">
        <v>45092</v>
      </c>
      <c r="D463" t="s">
        <v>646</v>
      </c>
      <c r="E463" t="s">
        <v>661</v>
      </c>
      <c r="F463" t="s">
        <v>687</v>
      </c>
      <c r="G463" t="s">
        <v>706</v>
      </c>
      <c r="H463" t="s">
        <v>707</v>
      </c>
      <c r="I463" t="s">
        <v>723</v>
      </c>
      <c r="J463" t="s">
        <v>733</v>
      </c>
      <c r="K463" t="s">
        <v>1194</v>
      </c>
      <c r="L463">
        <v>40.89</v>
      </c>
      <c r="M463">
        <v>62.82</v>
      </c>
      <c r="N463">
        <v>0.129</v>
      </c>
      <c r="O463">
        <v>17</v>
      </c>
    </row>
    <row r="464" spans="1:15" x14ac:dyDescent="0.25">
      <c r="A464" t="s">
        <v>476</v>
      </c>
      <c r="B464" s="2">
        <v>45358</v>
      </c>
      <c r="C464" s="2">
        <v>45385</v>
      </c>
      <c r="D464" t="s">
        <v>649</v>
      </c>
      <c r="E464" t="s">
        <v>656</v>
      </c>
      <c r="F464" t="s">
        <v>698</v>
      </c>
      <c r="G464" t="s">
        <v>701</v>
      </c>
      <c r="H464" t="s">
        <v>711</v>
      </c>
      <c r="I464" t="s">
        <v>724</v>
      </c>
      <c r="J464" t="s">
        <v>728</v>
      </c>
      <c r="K464" t="s">
        <v>1195</v>
      </c>
      <c r="L464">
        <v>738.16</v>
      </c>
      <c r="M464">
        <v>956.49</v>
      </c>
      <c r="N464">
        <v>0.152</v>
      </c>
      <c r="O464">
        <v>5</v>
      </c>
    </row>
    <row r="465" spans="1:15" x14ac:dyDescent="0.25">
      <c r="A465" t="s">
        <v>477</v>
      </c>
      <c r="B465" s="2">
        <v>45757</v>
      </c>
      <c r="C465" s="2">
        <v>45766</v>
      </c>
      <c r="D465" t="s">
        <v>646</v>
      </c>
      <c r="E465" t="s">
        <v>661</v>
      </c>
      <c r="F465" t="s">
        <v>687</v>
      </c>
      <c r="G465" t="s">
        <v>706</v>
      </c>
      <c r="I465" t="s">
        <v>715</v>
      </c>
      <c r="J465" t="s">
        <v>729</v>
      </c>
      <c r="K465" t="s">
        <v>1196</v>
      </c>
      <c r="L465">
        <v>113.74</v>
      </c>
      <c r="M465">
        <v>165.7</v>
      </c>
      <c r="N465">
        <v>0.124</v>
      </c>
      <c r="O465">
        <v>13</v>
      </c>
    </row>
    <row r="466" spans="1:15" x14ac:dyDescent="0.25">
      <c r="A466" t="s">
        <v>478</v>
      </c>
      <c r="B466" s="2">
        <v>45865</v>
      </c>
      <c r="C466" s="2">
        <v>45884</v>
      </c>
      <c r="D466" t="s">
        <v>647</v>
      </c>
      <c r="E466" t="s">
        <v>652</v>
      </c>
      <c r="F466" t="s">
        <v>689</v>
      </c>
      <c r="G466" t="s">
        <v>705</v>
      </c>
      <c r="H466" t="s">
        <v>709</v>
      </c>
      <c r="I466" t="s">
        <v>713</v>
      </c>
      <c r="J466" t="s">
        <v>727</v>
      </c>
      <c r="K466" t="s">
        <v>1197</v>
      </c>
      <c r="L466">
        <v>275.43</v>
      </c>
      <c r="M466">
        <v>608.36</v>
      </c>
      <c r="N466">
        <v>0.25700000000000001</v>
      </c>
      <c r="O466">
        <v>4</v>
      </c>
    </row>
    <row r="467" spans="1:15" x14ac:dyDescent="0.25">
      <c r="A467" t="s">
        <v>479</v>
      </c>
      <c r="B467" s="2">
        <v>45618</v>
      </c>
      <c r="C467" s="2">
        <v>45641</v>
      </c>
      <c r="D467" t="s">
        <v>646</v>
      </c>
      <c r="E467" t="s">
        <v>650</v>
      </c>
      <c r="F467" t="s">
        <v>675</v>
      </c>
      <c r="G467" t="s">
        <v>703</v>
      </c>
      <c r="H467" t="s">
        <v>710</v>
      </c>
      <c r="I467" t="s">
        <v>712</v>
      </c>
      <c r="J467" t="s">
        <v>727</v>
      </c>
      <c r="K467" t="s">
        <v>1198</v>
      </c>
      <c r="L467">
        <v>1335.76</v>
      </c>
      <c r="M467">
        <v>2665.91</v>
      </c>
      <c r="N467">
        <v>0.21099999999999999</v>
      </c>
      <c r="O467">
        <v>40</v>
      </c>
    </row>
    <row r="468" spans="1:15" x14ac:dyDescent="0.25">
      <c r="A468" t="s">
        <v>480</v>
      </c>
      <c r="B468" s="2">
        <v>45466</v>
      </c>
      <c r="C468" s="2">
        <v>45471</v>
      </c>
      <c r="D468" t="s">
        <v>646</v>
      </c>
      <c r="E468" t="s">
        <v>651</v>
      </c>
      <c r="F468" t="s">
        <v>663</v>
      </c>
      <c r="G468" t="s">
        <v>703</v>
      </c>
      <c r="H468" t="s">
        <v>711</v>
      </c>
      <c r="I468" t="s">
        <v>724</v>
      </c>
      <c r="J468" t="s">
        <v>733</v>
      </c>
      <c r="K468" t="s">
        <v>1199</v>
      </c>
      <c r="L468">
        <v>242.31</v>
      </c>
      <c r="M468">
        <v>587.95000000000005</v>
      </c>
      <c r="N468">
        <v>0.22900000000000001</v>
      </c>
      <c r="O468">
        <v>6</v>
      </c>
    </row>
    <row r="469" spans="1:15" x14ac:dyDescent="0.25">
      <c r="A469" t="s">
        <v>481</v>
      </c>
      <c r="B469" s="2">
        <v>45278</v>
      </c>
      <c r="C469" s="2">
        <v>45305</v>
      </c>
      <c r="D469" t="s">
        <v>647</v>
      </c>
      <c r="E469" t="s">
        <v>654</v>
      </c>
      <c r="F469" t="s">
        <v>691</v>
      </c>
      <c r="G469" t="s">
        <v>704</v>
      </c>
      <c r="H469" t="s">
        <v>710</v>
      </c>
      <c r="I469" t="s">
        <v>726</v>
      </c>
      <c r="J469" t="s">
        <v>729</v>
      </c>
      <c r="K469" t="s">
        <v>1200</v>
      </c>
      <c r="L469">
        <v>1408.3</v>
      </c>
      <c r="M469">
        <v>2193.13</v>
      </c>
      <c r="N469">
        <v>7.0999999999999994E-2</v>
      </c>
      <c r="O469">
        <v>7</v>
      </c>
    </row>
    <row r="470" spans="1:15" x14ac:dyDescent="0.25">
      <c r="A470" t="s">
        <v>482</v>
      </c>
      <c r="B470" s="2">
        <v>45809</v>
      </c>
      <c r="C470" s="2">
        <v>45813</v>
      </c>
      <c r="D470" t="s">
        <v>649</v>
      </c>
      <c r="E470" t="s">
        <v>656</v>
      </c>
      <c r="F470" t="s">
        <v>684</v>
      </c>
      <c r="G470" t="s">
        <v>706</v>
      </c>
      <c r="H470" t="s">
        <v>711</v>
      </c>
      <c r="I470" t="s">
        <v>724</v>
      </c>
      <c r="J470" t="s">
        <v>727</v>
      </c>
      <c r="K470" t="s">
        <v>1201</v>
      </c>
      <c r="L470">
        <v>1171.42</v>
      </c>
      <c r="M470">
        <v>2187.8000000000002</v>
      </c>
      <c r="N470">
        <v>0.23</v>
      </c>
      <c r="O470">
        <v>15</v>
      </c>
    </row>
    <row r="471" spans="1:15" x14ac:dyDescent="0.25">
      <c r="A471" t="s">
        <v>483</v>
      </c>
      <c r="B471" s="2">
        <v>45739</v>
      </c>
      <c r="C471" s="2">
        <v>45749</v>
      </c>
      <c r="D471" t="s">
        <v>649</v>
      </c>
      <c r="E471" t="s">
        <v>656</v>
      </c>
      <c r="F471" t="s">
        <v>671</v>
      </c>
      <c r="G471" t="s">
        <v>706</v>
      </c>
      <c r="H471" t="s">
        <v>708</v>
      </c>
      <c r="I471" t="s">
        <v>718</v>
      </c>
      <c r="J471" t="s">
        <v>728</v>
      </c>
      <c r="K471" t="s">
        <v>1202</v>
      </c>
      <c r="L471">
        <v>663.61</v>
      </c>
      <c r="M471">
        <v>1002.11</v>
      </c>
      <c r="N471">
        <v>4.5999999999999999E-2</v>
      </c>
      <c r="O471">
        <v>17</v>
      </c>
    </row>
    <row r="472" spans="1:15" x14ac:dyDescent="0.25">
      <c r="A472" t="s">
        <v>484</v>
      </c>
      <c r="B472" s="2">
        <v>45060</v>
      </c>
      <c r="C472" s="2">
        <v>45068</v>
      </c>
      <c r="D472" t="s">
        <v>646</v>
      </c>
      <c r="E472" t="s">
        <v>650</v>
      </c>
      <c r="F472" t="s">
        <v>675</v>
      </c>
      <c r="G472" t="s">
        <v>705</v>
      </c>
      <c r="H472" t="s">
        <v>710</v>
      </c>
      <c r="I472" t="s">
        <v>721</v>
      </c>
      <c r="J472" t="s">
        <v>728</v>
      </c>
      <c r="K472" t="s">
        <v>1203</v>
      </c>
      <c r="L472">
        <v>432.01</v>
      </c>
      <c r="M472">
        <v>913.78</v>
      </c>
      <c r="N472">
        <v>4.9000000000000002E-2</v>
      </c>
      <c r="O472">
        <v>12</v>
      </c>
    </row>
    <row r="473" spans="1:15" x14ac:dyDescent="0.25">
      <c r="A473" t="s">
        <v>485</v>
      </c>
      <c r="B473" s="2">
        <v>45167</v>
      </c>
      <c r="C473" s="2">
        <v>45188</v>
      </c>
      <c r="D473" t="s">
        <v>649</v>
      </c>
      <c r="E473" t="s">
        <v>657</v>
      </c>
      <c r="F473" t="s">
        <v>679</v>
      </c>
      <c r="G473" t="s">
        <v>705</v>
      </c>
      <c r="H473" t="s">
        <v>711</v>
      </c>
      <c r="I473" t="s">
        <v>717</v>
      </c>
      <c r="J473" t="s">
        <v>728</v>
      </c>
      <c r="K473" t="s">
        <v>1204</v>
      </c>
      <c r="L473">
        <v>784.46</v>
      </c>
      <c r="M473">
        <v>1843.51</v>
      </c>
      <c r="N473">
        <v>0.13800000000000001</v>
      </c>
      <c r="O473">
        <v>23</v>
      </c>
    </row>
    <row r="474" spans="1:15" x14ac:dyDescent="0.25">
      <c r="A474" t="s">
        <v>486</v>
      </c>
      <c r="B474" s="2">
        <v>45841</v>
      </c>
      <c r="C474" s="2">
        <v>45861</v>
      </c>
      <c r="D474" t="s">
        <v>647</v>
      </c>
      <c r="E474" t="s">
        <v>659</v>
      </c>
      <c r="F474" t="s">
        <v>699</v>
      </c>
      <c r="G474" t="s">
        <v>705</v>
      </c>
      <c r="H474" t="s">
        <v>708</v>
      </c>
      <c r="I474" t="s">
        <v>724</v>
      </c>
      <c r="J474" t="s">
        <v>727</v>
      </c>
      <c r="K474" t="s">
        <v>1205</v>
      </c>
      <c r="L474">
        <v>647.36</v>
      </c>
      <c r="M474">
        <v>1383.6</v>
      </c>
      <c r="N474">
        <v>7.3999999999999996E-2</v>
      </c>
      <c r="O474">
        <v>12</v>
      </c>
    </row>
    <row r="475" spans="1:15" x14ac:dyDescent="0.25">
      <c r="A475" t="s">
        <v>487</v>
      </c>
      <c r="B475" s="2">
        <v>45328</v>
      </c>
      <c r="C475" s="2">
        <v>45350</v>
      </c>
      <c r="D475" t="s">
        <v>646</v>
      </c>
      <c r="E475" t="s">
        <v>650</v>
      </c>
      <c r="F475" t="s">
        <v>662</v>
      </c>
      <c r="G475" t="s">
        <v>703</v>
      </c>
      <c r="H475" t="s">
        <v>708</v>
      </c>
      <c r="I475" t="s">
        <v>723</v>
      </c>
      <c r="J475" t="s">
        <v>732</v>
      </c>
      <c r="K475" t="s">
        <v>1206</v>
      </c>
      <c r="L475">
        <v>834.93</v>
      </c>
      <c r="M475">
        <v>1588.53</v>
      </c>
      <c r="N475">
        <v>0.126</v>
      </c>
      <c r="O475">
        <v>6</v>
      </c>
    </row>
    <row r="476" spans="1:15" x14ac:dyDescent="0.25">
      <c r="A476" t="s">
        <v>488</v>
      </c>
      <c r="B476" s="2">
        <v>45882</v>
      </c>
      <c r="C476" s="2">
        <v>45903</v>
      </c>
      <c r="D476" t="s">
        <v>649</v>
      </c>
      <c r="E476" t="s">
        <v>657</v>
      </c>
      <c r="F476" t="s">
        <v>690</v>
      </c>
      <c r="G476" t="s">
        <v>702</v>
      </c>
      <c r="H476" t="s">
        <v>707</v>
      </c>
      <c r="I476" t="s">
        <v>714</v>
      </c>
      <c r="J476" t="s">
        <v>730</v>
      </c>
      <c r="K476" t="s">
        <v>1207</v>
      </c>
      <c r="L476">
        <v>603.47</v>
      </c>
      <c r="M476">
        <v>1344.05</v>
      </c>
      <c r="N476">
        <v>0.20499999999999999</v>
      </c>
      <c r="O476">
        <v>18</v>
      </c>
    </row>
    <row r="477" spans="1:15" x14ac:dyDescent="0.25">
      <c r="A477" t="s">
        <v>489</v>
      </c>
      <c r="B477" s="2">
        <v>45069</v>
      </c>
      <c r="C477" s="2">
        <v>45071</v>
      </c>
      <c r="D477" t="s">
        <v>648</v>
      </c>
      <c r="E477" t="s">
        <v>655</v>
      </c>
      <c r="F477" t="s">
        <v>692</v>
      </c>
      <c r="G477" t="s">
        <v>706</v>
      </c>
      <c r="H477" t="s">
        <v>707</v>
      </c>
      <c r="I477" t="s">
        <v>724</v>
      </c>
      <c r="J477" t="s">
        <v>728</v>
      </c>
      <c r="K477" t="s">
        <v>1208</v>
      </c>
      <c r="L477">
        <v>690.49</v>
      </c>
      <c r="M477">
        <v>1290.29</v>
      </c>
      <c r="N477">
        <v>4.2000000000000003E-2</v>
      </c>
      <c r="O477">
        <v>22</v>
      </c>
    </row>
    <row r="478" spans="1:15" x14ac:dyDescent="0.25">
      <c r="A478" t="s">
        <v>490</v>
      </c>
      <c r="B478" s="2">
        <v>45422</v>
      </c>
      <c r="C478" s="2">
        <v>45428</v>
      </c>
      <c r="D478" t="s">
        <v>649</v>
      </c>
      <c r="E478" t="s">
        <v>658</v>
      </c>
      <c r="F478" t="s">
        <v>674</v>
      </c>
      <c r="G478" t="s">
        <v>703</v>
      </c>
      <c r="H478" t="s">
        <v>711</v>
      </c>
      <c r="I478" t="s">
        <v>715</v>
      </c>
      <c r="J478" t="s">
        <v>731</v>
      </c>
      <c r="K478" t="s">
        <v>1209</v>
      </c>
      <c r="L478">
        <v>210.76</v>
      </c>
      <c r="M478">
        <v>221.58</v>
      </c>
      <c r="N478">
        <v>8.8999999999999996E-2</v>
      </c>
      <c r="O478">
        <v>5</v>
      </c>
    </row>
    <row r="479" spans="1:15" x14ac:dyDescent="0.25">
      <c r="A479" t="s">
        <v>491</v>
      </c>
      <c r="B479" s="2">
        <v>44999</v>
      </c>
      <c r="C479" s="2">
        <v>45003</v>
      </c>
      <c r="D479" t="s">
        <v>649</v>
      </c>
      <c r="E479" t="s">
        <v>656</v>
      </c>
      <c r="F479" t="s">
        <v>698</v>
      </c>
      <c r="G479" t="s">
        <v>706</v>
      </c>
      <c r="H479" t="s">
        <v>711</v>
      </c>
      <c r="I479" t="s">
        <v>720</v>
      </c>
      <c r="J479" t="s">
        <v>727</v>
      </c>
      <c r="K479" t="s">
        <v>1210</v>
      </c>
      <c r="L479">
        <v>472.33</v>
      </c>
      <c r="M479">
        <v>360.34</v>
      </c>
      <c r="N479">
        <v>0.16500000000000001</v>
      </c>
      <c r="O479">
        <v>14</v>
      </c>
    </row>
    <row r="480" spans="1:15" x14ac:dyDescent="0.25">
      <c r="A480" t="s">
        <v>492</v>
      </c>
      <c r="B480" s="2">
        <v>45123</v>
      </c>
      <c r="C480" s="2">
        <v>45151</v>
      </c>
      <c r="D480" t="s">
        <v>649</v>
      </c>
      <c r="E480" t="s">
        <v>658</v>
      </c>
      <c r="F480" t="s">
        <v>693</v>
      </c>
      <c r="G480" t="s">
        <v>703</v>
      </c>
      <c r="H480" t="s">
        <v>708</v>
      </c>
      <c r="I480" t="s">
        <v>713</v>
      </c>
      <c r="J480" t="s">
        <v>731</v>
      </c>
      <c r="K480" t="s">
        <v>1211</v>
      </c>
      <c r="L480">
        <v>1039.03</v>
      </c>
      <c r="M480">
        <v>2545.81</v>
      </c>
      <c r="N480">
        <v>0.216</v>
      </c>
      <c r="O480">
        <v>21</v>
      </c>
    </row>
    <row r="481" spans="1:15" x14ac:dyDescent="0.25">
      <c r="A481" t="s">
        <v>493</v>
      </c>
      <c r="B481" s="2">
        <v>45032</v>
      </c>
      <c r="C481" s="2">
        <v>45035</v>
      </c>
      <c r="D481" t="s">
        <v>649</v>
      </c>
      <c r="E481" t="s">
        <v>656</v>
      </c>
      <c r="F481" t="s">
        <v>684</v>
      </c>
      <c r="G481" t="s">
        <v>701</v>
      </c>
      <c r="H481" t="s">
        <v>711</v>
      </c>
      <c r="I481" t="s">
        <v>717</v>
      </c>
      <c r="J481" t="s">
        <v>733</v>
      </c>
      <c r="K481" t="s">
        <v>1212</v>
      </c>
      <c r="L481">
        <v>553.61</v>
      </c>
      <c r="M481">
        <v>699.47</v>
      </c>
      <c r="N481">
        <v>0.02</v>
      </c>
      <c r="O481">
        <v>33</v>
      </c>
    </row>
    <row r="482" spans="1:15" x14ac:dyDescent="0.25">
      <c r="A482" t="s">
        <v>494</v>
      </c>
      <c r="B482" s="2">
        <v>45293</v>
      </c>
      <c r="C482" s="2">
        <v>45306</v>
      </c>
      <c r="D482" t="s">
        <v>647</v>
      </c>
      <c r="E482" t="s">
        <v>652</v>
      </c>
      <c r="F482" t="s">
        <v>694</v>
      </c>
      <c r="G482" t="s">
        <v>705</v>
      </c>
      <c r="H482" t="s">
        <v>709</v>
      </c>
      <c r="I482" t="s">
        <v>715</v>
      </c>
      <c r="J482" t="s">
        <v>729</v>
      </c>
      <c r="K482" t="s">
        <v>1213</v>
      </c>
      <c r="L482">
        <v>1219.06</v>
      </c>
      <c r="M482">
        <v>2738.69</v>
      </c>
      <c r="N482">
        <v>7.5999999999999998E-2</v>
      </c>
      <c r="O482">
        <v>16</v>
      </c>
    </row>
    <row r="483" spans="1:15" x14ac:dyDescent="0.25">
      <c r="A483" t="s">
        <v>495</v>
      </c>
      <c r="B483" s="2">
        <v>45538</v>
      </c>
      <c r="C483" s="2">
        <v>45542</v>
      </c>
      <c r="D483" t="s">
        <v>647</v>
      </c>
      <c r="E483" t="s">
        <v>652</v>
      </c>
      <c r="F483" t="s">
        <v>689</v>
      </c>
      <c r="G483" t="s">
        <v>705</v>
      </c>
      <c r="H483" t="s">
        <v>710</v>
      </c>
      <c r="I483" t="s">
        <v>725</v>
      </c>
      <c r="J483" t="s">
        <v>728</v>
      </c>
      <c r="K483" t="s">
        <v>1214</v>
      </c>
      <c r="L483">
        <v>43.23</v>
      </c>
      <c r="M483">
        <v>94.78</v>
      </c>
      <c r="N483">
        <v>9.0999999999999998E-2</v>
      </c>
      <c r="O483">
        <v>55</v>
      </c>
    </row>
    <row r="484" spans="1:15" x14ac:dyDescent="0.25">
      <c r="A484" t="s">
        <v>496</v>
      </c>
      <c r="B484" s="2">
        <v>45899</v>
      </c>
      <c r="C484" s="2">
        <v>45903</v>
      </c>
      <c r="D484" t="s">
        <v>649</v>
      </c>
      <c r="E484" t="s">
        <v>657</v>
      </c>
      <c r="F484" t="s">
        <v>673</v>
      </c>
      <c r="G484" t="s">
        <v>705</v>
      </c>
      <c r="H484" t="s">
        <v>709</v>
      </c>
      <c r="I484" t="s">
        <v>713</v>
      </c>
      <c r="J484" t="s">
        <v>731</v>
      </c>
      <c r="K484" t="s">
        <v>1215</v>
      </c>
      <c r="L484">
        <v>1286.56</v>
      </c>
      <c r="M484">
        <v>2777.35</v>
      </c>
      <c r="N484">
        <v>0.13200000000000001</v>
      </c>
      <c r="O484">
        <v>15</v>
      </c>
    </row>
    <row r="485" spans="1:15" x14ac:dyDescent="0.25">
      <c r="A485" t="s">
        <v>497</v>
      </c>
      <c r="B485" s="2">
        <v>45775</v>
      </c>
      <c r="C485" s="2">
        <v>45796</v>
      </c>
      <c r="D485" t="s">
        <v>649</v>
      </c>
      <c r="E485" t="s">
        <v>656</v>
      </c>
      <c r="F485" t="s">
        <v>671</v>
      </c>
      <c r="G485" t="s">
        <v>701</v>
      </c>
      <c r="H485" t="s">
        <v>710</v>
      </c>
      <c r="I485" t="s">
        <v>717</v>
      </c>
      <c r="J485" t="s">
        <v>730</v>
      </c>
      <c r="K485" t="s">
        <v>1216</v>
      </c>
      <c r="L485">
        <v>350.76</v>
      </c>
      <c r="M485">
        <v>492.18</v>
      </c>
      <c r="N485">
        <v>5.2999999999999999E-2</v>
      </c>
      <c r="O485">
        <v>11</v>
      </c>
    </row>
    <row r="486" spans="1:15" x14ac:dyDescent="0.25">
      <c r="A486" t="s">
        <v>498</v>
      </c>
      <c r="B486" s="2">
        <v>45148</v>
      </c>
      <c r="C486" s="2">
        <v>45153</v>
      </c>
      <c r="D486" t="s">
        <v>648</v>
      </c>
      <c r="E486" t="s">
        <v>655</v>
      </c>
      <c r="F486" t="s">
        <v>670</v>
      </c>
      <c r="G486" t="s">
        <v>702</v>
      </c>
      <c r="H486" t="s">
        <v>711</v>
      </c>
      <c r="I486" t="s">
        <v>715</v>
      </c>
      <c r="J486" t="s">
        <v>729</v>
      </c>
      <c r="K486" t="s">
        <v>1217</v>
      </c>
      <c r="L486">
        <v>1307.52</v>
      </c>
      <c r="M486">
        <v>1921.65</v>
      </c>
      <c r="N486">
        <v>0.123</v>
      </c>
      <c r="O486">
        <v>13</v>
      </c>
    </row>
    <row r="487" spans="1:15" x14ac:dyDescent="0.25">
      <c r="A487" t="s">
        <v>499</v>
      </c>
      <c r="B487" s="2">
        <v>45634</v>
      </c>
      <c r="C487" s="2">
        <v>45634</v>
      </c>
      <c r="D487" t="s">
        <v>649</v>
      </c>
      <c r="E487" t="s">
        <v>657</v>
      </c>
      <c r="F487" t="s">
        <v>679</v>
      </c>
      <c r="G487" t="s">
        <v>706</v>
      </c>
      <c r="H487" t="s">
        <v>707</v>
      </c>
      <c r="I487" t="s">
        <v>722</v>
      </c>
      <c r="J487" t="s">
        <v>727</v>
      </c>
      <c r="K487" t="s">
        <v>1218</v>
      </c>
      <c r="L487">
        <v>257.44</v>
      </c>
      <c r="M487">
        <v>290.33</v>
      </c>
      <c r="N487">
        <v>9.1999999999999998E-2</v>
      </c>
      <c r="O487">
        <v>23</v>
      </c>
    </row>
    <row r="488" spans="1:15" x14ac:dyDescent="0.25">
      <c r="A488" t="s">
        <v>500</v>
      </c>
      <c r="B488" s="2">
        <v>45224</v>
      </c>
      <c r="C488" s="2">
        <v>45254</v>
      </c>
      <c r="D488" t="s">
        <v>649</v>
      </c>
      <c r="E488" t="s">
        <v>657</v>
      </c>
      <c r="F488" t="s">
        <v>690</v>
      </c>
      <c r="G488" t="s">
        <v>706</v>
      </c>
      <c r="H488" t="s">
        <v>710</v>
      </c>
      <c r="I488" t="s">
        <v>712</v>
      </c>
      <c r="J488" t="s">
        <v>730</v>
      </c>
      <c r="K488" t="s">
        <v>1219</v>
      </c>
      <c r="L488">
        <v>287.85000000000002</v>
      </c>
      <c r="M488">
        <v>602.91999999999996</v>
      </c>
      <c r="N488">
        <v>0.222</v>
      </c>
      <c r="O488">
        <v>11</v>
      </c>
    </row>
    <row r="489" spans="1:15" x14ac:dyDescent="0.25">
      <c r="A489" t="s">
        <v>501</v>
      </c>
      <c r="B489" s="2">
        <v>45613</v>
      </c>
      <c r="C489" s="2">
        <v>45624</v>
      </c>
      <c r="D489" t="s">
        <v>648</v>
      </c>
      <c r="E489" t="s">
        <v>653</v>
      </c>
      <c r="G489" t="s">
        <v>704</v>
      </c>
      <c r="H489" t="s">
        <v>710</v>
      </c>
      <c r="I489" t="s">
        <v>720</v>
      </c>
      <c r="J489" t="s">
        <v>728</v>
      </c>
      <c r="K489" t="s">
        <v>1220</v>
      </c>
      <c r="L489">
        <v>1008.16</v>
      </c>
      <c r="M489">
        <v>2077.5</v>
      </c>
      <c r="N489">
        <v>7.3999999999999996E-2</v>
      </c>
      <c r="O489">
        <v>15</v>
      </c>
    </row>
    <row r="490" spans="1:15" x14ac:dyDescent="0.25">
      <c r="A490" t="s">
        <v>502</v>
      </c>
      <c r="B490" s="2">
        <v>45424</v>
      </c>
      <c r="C490" s="2">
        <v>45436</v>
      </c>
      <c r="D490" t="s">
        <v>649</v>
      </c>
      <c r="E490" t="s">
        <v>658</v>
      </c>
      <c r="F490" t="s">
        <v>693</v>
      </c>
      <c r="G490" t="s">
        <v>702</v>
      </c>
      <c r="H490" t="s">
        <v>709</v>
      </c>
      <c r="I490" t="s">
        <v>723</v>
      </c>
      <c r="J490" t="s">
        <v>728</v>
      </c>
      <c r="K490" t="s">
        <v>1221</v>
      </c>
      <c r="L490">
        <v>111.02</v>
      </c>
      <c r="M490">
        <v>172.88</v>
      </c>
      <c r="N490">
        <v>0.19700000000000001</v>
      </c>
      <c r="O490">
        <v>29</v>
      </c>
    </row>
    <row r="491" spans="1:15" x14ac:dyDescent="0.25">
      <c r="A491" t="s">
        <v>503</v>
      </c>
      <c r="B491" s="2">
        <v>45792</v>
      </c>
      <c r="C491" s="2">
        <v>45813</v>
      </c>
      <c r="D491" t="s">
        <v>647</v>
      </c>
      <c r="E491" t="s">
        <v>652</v>
      </c>
      <c r="F491" t="s">
        <v>666</v>
      </c>
      <c r="G491" t="s">
        <v>706</v>
      </c>
      <c r="H491" t="s">
        <v>711</v>
      </c>
      <c r="I491" t="s">
        <v>722</v>
      </c>
      <c r="J491" t="s">
        <v>730</v>
      </c>
      <c r="K491" t="s">
        <v>1222</v>
      </c>
      <c r="L491">
        <v>1466.5</v>
      </c>
      <c r="M491">
        <v>2778.74</v>
      </c>
      <c r="N491">
        <v>0.13500000000000001</v>
      </c>
      <c r="O491">
        <v>4</v>
      </c>
    </row>
    <row r="492" spans="1:15" x14ac:dyDescent="0.25">
      <c r="A492" t="s">
        <v>504</v>
      </c>
      <c r="B492" s="2">
        <v>45403</v>
      </c>
      <c r="C492" s="2">
        <v>45431</v>
      </c>
      <c r="D492" t="s">
        <v>646</v>
      </c>
      <c r="E492" t="s">
        <v>651</v>
      </c>
      <c r="F492" t="s">
        <v>665</v>
      </c>
      <c r="G492" t="s">
        <v>701</v>
      </c>
      <c r="H492" t="s">
        <v>710</v>
      </c>
      <c r="I492" t="s">
        <v>720</v>
      </c>
      <c r="J492" t="s">
        <v>733</v>
      </c>
      <c r="K492" t="s">
        <v>1223</v>
      </c>
      <c r="L492">
        <v>187.22</v>
      </c>
      <c r="M492">
        <v>309.47000000000003</v>
      </c>
      <c r="N492">
        <v>0</v>
      </c>
      <c r="O492">
        <v>5</v>
      </c>
    </row>
    <row r="493" spans="1:15" x14ac:dyDescent="0.25">
      <c r="A493" t="s">
        <v>505</v>
      </c>
      <c r="B493" s="2">
        <v>45523</v>
      </c>
      <c r="C493" s="2">
        <v>45542</v>
      </c>
      <c r="D493" t="s">
        <v>649</v>
      </c>
      <c r="E493" t="s">
        <v>657</v>
      </c>
      <c r="F493" t="s">
        <v>679</v>
      </c>
      <c r="G493" t="s">
        <v>701</v>
      </c>
      <c r="H493" t="s">
        <v>711</v>
      </c>
      <c r="I493" t="s">
        <v>713</v>
      </c>
      <c r="J493" t="s">
        <v>727</v>
      </c>
      <c r="K493" t="s">
        <v>1224</v>
      </c>
      <c r="L493">
        <v>297.58999999999997</v>
      </c>
      <c r="M493">
        <v>666.41</v>
      </c>
      <c r="N493">
        <v>0</v>
      </c>
      <c r="O493">
        <v>10</v>
      </c>
    </row>
    <row r="494" spans="1:15" x14ac:dyDescent="0.25">
      <c r="A494" t="s">
        <v>506</v>
      </c>
      <c r="B494" s="2">
        <v>45861</v>
      </c>
      <c r="C494" s="2">
        <v>45888</v>
      </c>
      <c r="D494" t="s">
        <v>647</v>
      </c>
      <c r="E494" t="s">
        <v>652</v>
      </c>
      <c r="F494" t="s">
        <v>694</v>
      </c>
      <c r="G494" t="s">
        <v>704</v>
      </c>
      <c r="H494" t="s">
        <v>709</v>
      </c>
      <c r="I494" t="s">
        <v>717</v>
      </c>
      <c r="J494" t="s">
        <v>733</v>
      </c>
      <c r="K494" t="s">
        <v>1225</v>
      </c>
      <c r="L494">
        <v>896.09</v>
      </c>
      <c r="M494">
        <v>744.27</v>
      </c>
      <c r="N494">
        <v>8.3000000000000004E-2</v>
      </c>
      <c r="O494">
        <v>11</v>
      </c>
    </row>
    <row r="495" spans="1:15" x14ac:dyDescent="0.25">
      <c r="A495" t="s">
        <v>507</v>
      </c>
      <c r="B495" s="2">
        <v>45352</v>
      </c>
      <c r="C495" s="2">
        <v>45351</v>
      </c>
      <c r="D495" t="s">
        <v>648</v>
      </c>
      <c r="E495" t="s">
        <v>655</v>
      </c>
      <c r="F495" t="s">
        <v>670</v>
      </c>
      <c r="G495" t="s">
        <v>703</v>
      </c>
      <c r="H495" t="s">
        <v>711</v>
      </c>
      <c r="I495" t="s">
        <v>714</v>
      </c>
      <c r="J495" t="s">
        <v>730</v>
      </c>
      <c r="K495" t="s">
        <v>1226</v>
      </c>
      <c r="L495">
        <v>5.34</v>
      </c>
      <c r="M495">
        <v>12.69</v>
      </c>
      <c r="N495">
        <v>0.13200000000000001</v>
      </c>
      <c r="O495">
        <v>10</v>
      </c>
    </row>
    <row r="496" spans="1:15" x14ac:dyDescent="0.25">
      <c r="A496" t="s">
        <v>508</v>
      </c>
      <c r="B496" s="2">
        <v>45439</v>
      </c>
      <c r="C496" s="2">
        <v>45460</v>
      </c>
      <c r="D496" t="s">
        <v>647</v>
      </c>
      <c r="E496" t="s">
        <v>654</v>
      </c>
      <c r="F496" t="s">
        <v>680</v>
      </c>
      <c r="G496" t="s">
        <v>705</v>
      </c>
      <c r="H496" t="s">
        <v>708</v>
      </c>
      <c r="I496" t="s">
        <v>722</v>
      </c>
      <c r="J496" t="s">
        <v>733</v>
      </c>
      <c r="K496" t="s">
        <v>1227</v>
      </c>
      <c r="L496">
        <v>465.02</v>
      </c>
      <c r="M496">
        <v>651.55999999999995</v>
      </c>
      <c r="N496">
        <v>4.2000000000000003E-2</v>
      </c>
      <c r="O496">
        <v>19</v>
      </c>
    </row>
    <row r="497" spans="1:15" x14ac:dyDescent="0.25">
      <c r="A497" t="s">
        <v>509</v>
      </c>
      <c r="B497" s="2">
        <v>45508</v>
      </c>
      <c r="C497" s="2">
        <v>45521</v>
      </c>
      <c r="D497" t="s">
        <v>648</v>
      </c>
      <c r="E497" t="s">
        <v>660</v>
      </c>
      <c r="F497" t="s">
        <v>697</v>
      </c>
      <c r="G497" t="s">
        <v>704</v>
      </c>
      <c r="H497" t="s">
        <v>707</v>
      </c>
      <c r="I497" t="s">
        <v>726</v>
      </c>
      <c r="J497" t="s">
        <v>732</v>
      </c>
      <c r="K497" t="s">
        <v>1228</v>
      </c>
      <c r="L497">
        <v>352.79</v>
      </c>
      <c r="M497">
        <v>754.22</v>
      </c>
      <c r="N497">
        <v>0.113</v>
      </c>
      <c r="O497">
        <v>7</v>
      </c>
    </row>
    <row r="498" spans="1:15" x14ac:dyDescent="0.25">
      <c r="A498" t="s">
        <v>510</v>
      </c>
      <c r="B498" s="2">
        <v>45097</v>
      </c>
      <c r="C498" s="2">
        <v>45111</v>
      </c>
      <c r="D498" t="s">
        <v>648</v>
      </c>
      <c r="E498" t="s">
        <v>655</v>
      </c>
      <c r="F498" t="s">
        <v>672</v>
      </c>
      <c r="G498" t="s">
        <v>703</v>
      </c>
      <c r="H498" t="s">
        <v>711</v>
      </c>
      <c r="I498" t="s">
        <v>712</v>
      </c>
      <c r="J498" t="s">
        <v>729</v>
      </c>
      <c r="K498" t="s">
        <v>1229</v>
      </c>
      <c r="L498">
        <v>1292.8599999999999</v>
      </c>
      <c r="M498">
        <v>2981.01</v>
      </c>
      <c r="N498">
        <v>0.14199999999999999</v>
      </c>
      <c r="O498">
        <v>12</v>
      </c>
    </row>
    <row r="499" spans="1:15" x14ac:dyDescent="0.25">
      <c r="A499" t="s">
        <v>511</v>
      </c>
      <c r="B499" s="2">
        <v>45544</v>
      </c>
      <c r="C499" s="2">
        <v>45548</v>
      </c>
      <c r="D499" t="s">
        <v>649</v>
      </c>
      <c r="E499" t="s">
        <v>658</v>
      </c>
      <c r="F499" t="s">
        <v>683</v>
      </c>
      <c r="G499" t="s">
        <v>704</v>
      </c>
      <c r="H499" t="s">
        <v>709</v>
      </c>
      <c r="I499" t="s">
        <v>721</v>
      </c>
      <c r="J499" t="s">
        <v>729</v>
      </c>
      <c r="K499" t="s">
        <v>1230</v>
      </c>
      <c r="L499">
        <v>1133.08</v>
      </c>
      <c r="M499">
        <v>976.17</v>
      </c>
      <c r="N499">
        <v>4.2000000000000003E-2</v>
      </c>
      <c r="O499">
        <v>27</v>
      </c>
    </row>
    <row r="500" spans="1:15" x14ac:dyDescent="0.25">
      <c r="A500" t="s">
        <v>512</v>
      </c>
      <c r="B500" s="2">
        <v>45224</v>
      </c>
      <c r="C500" s="2">
        <v>45227</v>
      </c>
      <c r="D500" t="s">
        <v>648</v>
      </c>
      <c r="E500" t="s">
        <v>655</v>
      </c>
      <c r="F500" t="s">
        <v>672</v>
      </c>
      <c r="G500" t="s">
        <v>701</v>
      </c>
      <c r="H500" t="s">
        <v>710</v>
      </c>
      <c r="I500" t="s">
        <v>716</v>
      </c>
      <c r="J500" t="s">
        <v>733</v>
      </c>
      <c r="K500" t="s">
        <v>1231</v>
      </c>
      <c r="L500">
        <v>509.31</v>
      </c>
      <c r="M500">
        <v>1145.9000000000001</v>
      </c>
      <c r="N500">
        <v>5.7000000000000002E-2</v>
      </c>
      <c r="O500">
        <v>8</v>
      </c>
    </row>
    <row r="501" spans="1:15" x14ac:dyDescent="0.25">
      <c r="A501" t="s">
        <v>513</v>
      </c>
      <c r="B501" s="2">
        <v>45908</v>
      </c>
      <c r="C501" s="2">
        <v>45935</v>
      </c>
      <c r="D501" t="s">
        <v>648</v>
      </c>
      <c r="E501" t="s">
        <v>655</v>
      </c>
      <c r="F501" t="s">
        <v>692</v>
      </c>
      <c r="G501" t="s">
        <v>702</v>
      </c>
      <c r="H501" t="s">
        <v>708</v>
      </c>
      <c r="I501" t="s">
        <v>712</v>
      </c>
      <c r="J501" t="s">
        <v>732</v>
      </c>
      <c r="K501" t="s">
        <v>1232</v>
      </c>
      <c r="L501">
        <v>660.78</v>
      </c>
      <c r="M501">
        <v>1630.39</v>
      </c>
      <c r="N501">
        <v>0.218</v>
      </c>
      <c r="O501">
        <v>13</v>
      </c>
    </row>
    <row r="502" spans="1:15" x14ac:dyDescent="0.25">
      <c r="A502" t="s">
        <v>514</v>
      </c>
      <c r="B502" s="2">
        <v>45048</v>
      </c>
      <c r="C502" s="2">
        <v>45062</v>
      </c>
      <c r="D502" t="s">
        <v>647</v>
      </c>
      <c r="E502" t="s">
        <v>654</v>
      </c>
      <c r="F502" t="s">
        <v>668</v>
      </c>
      <c r="G502" t="s">
        <v>703</v>
      </c>
      <c r="H502" t="s">
        <v>707</v>
      </c>
      <c r="I502" t="s">
        <v>716</v>
      </c>
      <c r="J502" t="s">
        <v>732</v>
      </c>
      <c r="K502" t="s">
        <v>1233</v>
      </c>
      <c r="L502">
        <v>475.37</v>
      </c>
      <c r="M502">
        <v>963.73</v>
      </c>
      <c r="N502">
        <v>4.1000000000000002E-2</v>
      </c>
      <c r="O502">
        <v>22</v>
      </c>
    </row>
    <row r="503" spans="1:15" x14ac:dyDescent="0.25">
      <c r="A503" t="s">
        <v>515</v>
      </c>
      <c r="B503" s="2">
        <v>45408</v>
      </c>
      <c r="C503" s="2">
        <v>45406</v>
      </c>
      <c r="D503" t="s">
        <v>649</v>
      </c>
      <c r="E503" t="s">
        <v>658</v>
      </c>
      <c r="F503" t="s">
        <v>683</v>
      </c>
      <c r="G503" t="s">
        <v>703</v>
      </c>
      <c r="H503" t="s">
        <v>710</v>
      </c>
      <c r="I503" t="s">
        <v>725</v>
      </c>
      <c r="J503" t="s">
        <v>730</v>
      </c>
      <c r="K503" t="s">
        <v>1234</v>
      </c>
      <c r="L503">
        <v>1232.77</v>
      </c>
      <c r="M503">
        <v>891.73</v>
      </c>
      <c r="N503">
        <v>0.16700000000000001</v>
      </c>
      <c r="O503">
        <v>10</v>
      </c>
    </row>
    <row r="504" spans="1:15" x14ac:dyDescent="0.25">
      <c r="A504" t="s">
        <v>516</v>
      </c>
      <c r="B504" s="2">
        <v>44980</v>
      </c>
      <c r="C504" s="2">
        <v>45003</v>
      </c>
      <c r="D504" t="s">
        <v>647</v>
      </c>
      <c r="E504" t="s">
        <v>659</v>
      </c>
      <c r="F504" t="s">
        <v>699</v>
      </c>
      <c r="G504" t="s">
        <v>702</v>
      </c>
      <c r="H504" t="s">
        <v>710</v>
      </c>
      <c r="I504" t="s">
        <v>723</v>
      </c>
      <c r="J504" t="s">
        <v>728</v>
      </c>
      <c r="K504" t="s">
        <v>1235</v>
      </c>
      <c r="L504">
        <v>770.11</v>
      </c>
      <c r="M504">
        <v>1667.82</v>
      </c>
      <c r="N504">
        <v>6.9000000000000006E-2</v>
      </c>
      <c r="O504">
        <v>7</v>
      </c>
    </row>
    <row r="505" spans="1:15" x14ac:dyDescent="0.25">
      <c r="A505" t="s">
        <v>517</v>
      </c>
      <c r="B505" s="2">
        <v>45740</v>
      </c>
      <c r="C505" s="2">
        <v>45741</v>
      </c>
      <c r="D505" t="s">
        <v>647</v>
      </c>
      <c r="E505" t="s">
        <v>659</v>
      </c>
      <c r="F505" t="s">
        <v>699</v>
      </c>
      <c r="G505" t="s">
        <v>703</v>
      </c>
      <c r="H505" t="s">
        <v>708</v>
      </c>
      <c r="I505" t="s">
        <v>715</v>
      </c>
      <c r="J505" t="s">
        <v>729</v>
      </c>
      <c r="K505" t="s">
        <v>1236</v>
      </c>
      <c r="L505">
        <v>1133.03</v>
      </c>
      <c r="M505">
        <v>1921.51</v>
      </c>
      <c r="N505">
        <v>0.10100000000000001</v>
      </c>
      <c r="O505">
        <v>5</v>
      </c>
    </row>
    <row r="506" spans="1:15" x14ac:dyDescent="0.25">
      <c r="A506" t="s">
        <v>518</v>
      </c>
      <c r="B506" s="2">
        <v>45726</v>
      </c>
      <c r="C506" s="2">
        <v>45743</v>
      </c>
      <c r="D506" t="s">
        <v>648</v>
      </c>
      <c r="E506" t="s">
        <v>655</v>
      </c>
      <c r="F506" t="s">
        <v>692</v>
      </c>
      <c r="G506" t="s">
        <v>706</v>
      </c>
      <c r="H506" t="s">
        <v>711</v>
      </c>
      <c r="I506" t="s">
        <v>721</v>
      </c>
      <c r="J506" t="s">
        <v>729</v>
      </c>
      <c r="K506" t="s">
        <v>1237</v>
      </c>
      <c r="L506">
        <v>996.73</v>
      </c>
      <c r="M506">
        <v>1217.43</v>
      </c>
      <c r="N506">
        <v>7.0000000000000007E-2</v>
      </c>
      <c r="O506">
        <v>9</v>
      </c>
    </row>
    <row r="507" spans="1:15" x14ac:dyDescent="0.25">
      <c r="A507" t="s">
        <v>519</v>
      </c>
      <c r="B507" s="2">
        <v>45387</v>
      </c>
      <c r="C507" s="2">
        <v>45391</v>
      </c>
      <c r="D507" t="s">
        <v>646</v>
      </c>
      <c r="E507" t="s">
        <v>651</v>
      </c>
      <c r="F507" t="s">
        <v>665</v>
      </c>
      <c r="G507" t="s">
        <v>703</v>
      </c>
      <c r="H507" t="s">
        <v>711</v>
      </c>
      <c r="I507" t="s">
        <v>723</v>
      </c>
      <c r="J507" t="s">
        <v>727</v>
      </c>
      <c r="K507" t="s">
        <v>1238</v>
      </c>
      <c r="L507">
        <v>395.07</v>
      </c>
      <c r="M507">
        <v>970.27</v>
      </c>
      <c r="N507">
        <v>0.123</v>
      </c>
      <c r="O507">
        <v>38</v>
      </c>
    </row>
    <row r="508" spans="1:15" x14ac:dyDescent="0.25">
      <c r="A508" t="s">
        <v>520</v>
      </c>
      <c r="B508" s="2">
        <v>45774</v>
      </c>
      <c r="C508" s="2">
        <v>45794</v>
      </c>
      <c r="D508" t="s">
        <v>648</v>
      </c>
      <c r="E508" t="s">
        <v>660</v>
      </c>
      <c r="F508" t="s">
        <v>697</v>
      </c>
      <c r="G508" t="s">
        <v>701</v>
      </c>
      <c r="H508" t="s">
        <v>711</v>
      </c>
      <c r="I508" t="s">
        <v>725</v>
      </c>
      <c r="J508" t="s">
        <v>730</v>
      </c>
      <c r="K508" t="s">
        <v>1239</v>
      </c>
      <c r="L508">
        <v>932.26</v>
      </c>
      <c r="M508">
        <v>1624.67</v>
      </c>
      <c r="N508">
        <v>0.23499999999999999</v>
      </c>
      <c r="O508">
        <v>28</v>
      </c>
    </row>
    <row r="509" spans="1:15" x14ac:dyDescent="0.25">
      <c r="A509" t="s">
        <v>521</v>
      </c>
      <c r="B509" s="2">
        <v>45589</v>
      </c>
      <c r="C509" s="2">
        <v>45593</v>
      </c>
      <c r="D509" t="s">
        <v>647</v>
      </c>
      <c r="E509" t="s">
        <v>659</v>
      </c>
      <c r="F509" t="s">
        <v>685</v>
      </c>
      <c r="G509" t="s">
        <v>705</v>
      </c>
      <c r="H509" t="s">
        <v>710</v>
      </c>
      <c r="I509" t="s">
        <v>714</v>
      </c>
      <c r="J509" t="s">
        <v>729</v>
      </c>
      <c r="K509" t="s">
        <v>1240</v>
      </c>
      <c r="L509">
        <v>1331.77</v>
      </c>
      <c r="M509">
        <v>2606.11</v>
      </c>
      <c r="N509">
        <v>0.02</v>
      </c>
      <c r="O509">
        <v>6</v>
      </c>
    </row>
    <row r="510" spans="1:15" x14ac:dyDescent="0.25">
      <c r="A510" t="s">
        <v>522</v>
      </c>
      <c r="B510" s="2">
        <v>45029</v>
      </c>
      <c r="C510" s="2">
        <v>45036</v>
      </c>
      <c r="D510" t="s">
        <v>649</v>
      </c>
      <c r="E510" t="s">
        <v>657</v>
      </c>
      <c r="F510" t="s">
        <v>679</v>
      </c>
      <c r="G510" t="s">
        <v>705</v>
      </c>
      <c r="H510" t="s">
        <v>708</v>
      </c>
      <c r="I510" t="s">
        <v>720</v>
      </c>
      <c r="J510" t="s">
        <v>731</v>
      </c>
      <c r="K510" t="s">
        <v>1241</v>
      </c>
      <c r="L510">
        <v>227.02</v>
      </c>
      <c r="M510">
        <v>434.72</v>
      </c>
      <c r="N510">
        <v>9.8000000000000004E-2</v>
      </c>
      <c r="O510">
        <v>10</v>
      </c>
    </row>
    <row r="511" spans="1:15" x14ac:dyDescent="0.25">
      <c r="A511" t="s">
        <v>523</v>
      </c>
      <c r="B511" s="2">
        <v>45608</v>
      </c>
      <c r="C511" s="2">
        <v>45617</v>
      </c>
      <c r="D511" t="s">
        <v>647</v>
      </c>
      <c r="E511" t="s">
        <v>654</v>
      </c>
      <c r="F511" t="s">
        <v>691</v>
      </c>
      <c r="G511" t="s">
        <v>701</v>
      </c>
      <c r="H511" t="s">
        <v>711</v>
      </c>
      <c r="I511" t="s">
        <v>722</v>
      </c>
      <c r="J511" t="s">
        <v>731</v>
      </c>
      <c r="K511" t="s">
        <v>1242</v>
      </c>
      <c r="L511">
        <v>903.41</v>
      </c>
      <c r="M511">
        <v>1860.41</v>
      </c>
      <c r="N511">
        <v>0.108</v>
      </c>
      <c r="O511">
        <v>5</v>
      </c>
    </row>
    <row r="512" spans="1:15" x14ac:dyDescent="0.25">
      <c r="A512" t="s">
        <v>524</v>
      </c>
      <c r="B512" s="2">
        <v>45056</v>
      </c>
      <c r="C512" s="2">
        <v>45060</v>
      </c>
      <c r="D512" t="s">
        <v>647</v>
      </c>
      <c r="E512" t="s">
        <v>654</v>
      </c>
      <c r="F512" t="s">
        <v>680</v>
      </c>
      <c r="G512" t="s">
        <v>703</v>
      </c>
      <c r="H512" t="s">
        <v>710</v>
      </c>
      <c r="I512" t="s">
        <v>712</v>
      </c>
      <c r="J512" t="s">
        <v>732</v>
      </c>
      <c r="K512" t="s">
        <v>1243</v>
      </c>
      <c r="L512">
        <v>622.6</v>
      </c>
      <c r="M512">
        <v>833.69</v>
      </c>
      <c r="N512">
        <v>0.20899999999999999</v>
      </c>
      <c r="O512">
        <v>14</v>
      </c>
    </row>
    <row r="513" spans="1:15" x14ac:dyDescent="0.25">
      <c r="A513" t="s">
        <v>525</v>
      </c>
      <c r="B513" s="2">
        <v>45353</v>
      </c>
      <c r="C513" s="2">
        <v>45374</v>
      </c>
      <c r="D513" t="s">
        <v>648</v>
      </c>
      <c r="E513" t="s">
        <v>660</v>
      </c>
      <c r="F513" t="s">
        <v>677</v>
      </c>
      <c r="G513" t="s">
        <v>705</v>
      </c>
      <c r="H513" t="s">
        <v>708</v>
      </c>
      <c r="I513" t="s">
        <v>721</v>
      </c>
      <c r="J513" t="s">
        <v>727</v>
      </c>
      <c r="K513" t="s">
        <v>1244</v>
      </c>
      <c r="L513">
        <v>225.01</v>
      </c>
      <c r="M513">
        <v>333.48</v>
      </c>
      <c r="N513">
        <v>0.11899999999999999</v>
      </c>
      <c r="O513">
        <v>12</v>
      </c>
    </row>
    <row r="514" spans="1:15" x14ac:dyDescent="0.25">
      <c r="A514" t="s">
        <v>526</v>
      </c>
      <c r="B514" s="2">
        <v>45575</v>
      </c>
      <c r="C514" s="2">
        <v>45576</v>
      </c>
      <c r="D514" t="s">
        <v>649</v>
      </c>
      <c r="E514" t="s">
        <v>658</v>
      </c>
      <c r="F514" t="s">
        <v>693</v>
      </c>
      <c r="G514" t="s">
        <v>703</v>
      </c>
      <c r="H514" t="s">
        <v>710</v>
      </c>
      <c r="I514" t="s">
        <v>716</v>
      </c>
      <c r="J514" t="s">
        <v>727</v>
      </c>
      <c r="K514" t="s">
        <v>1245</v>
      </c>
      <c r="L514">
        <v>1389.46</v>
      </c>
      <c r="M514">
        <v>1784.7</v>
      </c>
      <c r="N514">
        <v>0.14599999999999999</v>
      </c>
      <c r="O514">
        <v>33</v>
      </c>
    </row>
    <row r="515" spans="1:15" x14ac:dyDescent="0.25">
      <c r="A515" t="s">
        <v>527</v>
      </c>
      <c r="B515" s="2">
        <v>45078</v>
      </c>
      <c r="C515" s="2">
        <v>45085</v>
      </c>
      <c r="D515" t="s">
        <v>649</v>
      </c>
      <c r="E515" t="s">
        <v>656</v>
      </c>
      <c r="F515" t="s">
        <v>698</v>
      </c>
      <c r="G515" t="s">
        <v>704</v>
      </c>
      <c r="H515" t="s">
        <v>708</v>
      </c>
      <c r="I515" t="s">
        <v>720</v>
      </c>
      <c r="J515" t="s">
        <v>730</v>
      </c>
      <c r="K515" t="s">
        <v>1246</v>
      </c>
      <c r="L515">
        <v>804.17</v>
      </c>
      <c r="M515">
        <v>1072.29</v>
      </c>
      <c r="N515">
        <v>3.2000000000000001E-2</v>
      </c>
      <c r="O515">
        <v>5</v>
      </c>
    </row>
    <row r="516" spans="1:15" x14ac:dyDescent="0.25">
      <c r="A516" t="s">
        <v>528</v>
      </c>
      <c r="B516" s="2">
        <v>45661</v>
      </c>
      <c r="C516" s="2">
        <v>45662</v>
      </c>
      <c r="D516" t="s">
        <v>647</v>
      </c>
      <c r="E516" t="s">
        <v>654</v>
      </c>
      <c r="F516" t="s">
        <v>680</v>
      </c>
      <c r="G516" t="s">
        <v>702</v>
      </c>
      <c r="H516" t="s">
        <v>707</v>
      </c>
      <c r="I516" t="s">
        <v>714</v>
      </c>
      <c r="J516" t="s">
        <v>727</v>
      </c>
      <c r="K516" t="s">
        <v>1247</v>
      </c>
      <c r="L516">
        <v>1428.33</v>
      </c>
      <c r="M516">
        <v>3028.05</v>
      </c>
      <c r="N516">
        <v>0</v>
      </c>
      <c r="O516">
        <v>11</v>
      </c>
    </row>
    <row r="517" spans="1:15" x14ac:dyDescent="0.25">
      <c r="A517" t="s">
        <v>529</v>
      </c>
      <c r="B517" s="2">
        <v>45874</v>
      </c>
      <c r="C517" s="2">
        <v>45897</v>
      </c>
      <c r="D517" t="s">
        <v>647</v>
      </c>
      <c r="E517" t="s">
        <v>654</v>
      </c>
      <c r="F517" t="s">
        <v>691</v>
      </c>
      <c r="G517" t="s">
        <v>703</v>
      </c>
      <c r="H517" t="s">
        <v>710</v>
      </c>
      <c r="I517" t="s">
        <v>725</v>
      </c>
      <c r="J517" t="s">
        <v>731</v>
      </c>
      <c r="K517" t="s">
        <v>1248</v>
      </c>
      <c r="L517">
        <v>638.54</v>
      </c>
      <c r="M517">
        <v>987.24</v>
      </c>
      <c r="N517">
        <v>0</v>
      </c>
      <c r="O517">
        <v>11</v>
      </c>
    </row>
    <row r="518" spans="1:15" x14ac:dyDescent="0.25">
      <c r="A518" t="s">
        <v>530</v>
      </c>
      <c r="B518" s="2">
        <v>45199</v>
      </c>
      <c r="C518" s="2">
        <v>45229</v>
      </c>
      <c r="D518" t="s">
        <v>647</v>
      </c>
      <c r="E518" t="s">
        <v>652</v>
      </c>
      <c r="F518" t="s">
        <v>689</v>
      </c>
      <c r="G518" t="s">
        <v>706</v>
      </c>
      <c r="H518" t="s">
        <v>708</v>
      </c>
      <c r="I518" t="s">
        <v>726</v>
      </c>
      <c r="J518" t="s">
        <v>728</v>
      </c>
      <c r="K518" t="s">
        <v>1249</v>
      </c>
      <c r="L518">
        <v>649.13</v>
      </c>
      <c r="M518">
        <v>975.43</v>
      </c>
      <c r="N518">
        <v>0.157</v>
      </c>
      <c r="O518">
        <v>27</v>
      </c>
    </row>
    <row r="519" spans="1:15" x14ac:dyDescent="0.25">
      <c r="A519" t="s">
        <v>531</v>
      </c>
      <c r="B519" s="2">
        <v>45794</v>
      </c>
      <c r="C519" s="2">
        <v>45807</v>
      </c>
      <c r="D519" t="s">
        <v>646</v>
      </c>
      <c r="E519" t="s">
        <v>651</v>
      </c>
      <c r="F519" t="s">
        <v>665</v>
      </c>
      <c r="G519" t="s">
        <v>704</v>
      </c>
      <c r="H519" t="s">
        <v>710</v>
      </c>
      <c r="I519" t="s">
        <v>721</v>
      </c>
      <c r="J519" t="s">
        <v>733</v>
      </c>
      <c r="K519" t="s">
        <v>1250</v>
      </c>
      <c r="L519">
        <v>66.400000000000006</v>
      </c>
      <c r="M519">
        <v>141.43</v>
      </c>
      <c r="N519">
        <v>0.107</v>
      </c>
      <c r="O519">
        <v>8</v>
      </c>
    </row>
    <row r="520" spans="1:15" x14ac:dyDescent="0.25">
      <c r="A520" t="s">
        <v>532</v>
      </c>
      <c r="B520" s="2">
        <v>45413</v>
      </c>
      <c r="C520" s="2">
        <v>45438</v>
      </c>
      <c r="D520" t="s">
        <v>649</v>
      </c>
      <c r="E520" t="s">
        <v>656</v>
      </c>
      <c r="F520" t="s">
        <v>671</v>
      </c>
      <c r="G520" t="s">
        <v>703</v>
      </c>
      <c r="H520" t="s">
        <v>707</v>
      </c>
      <c r="I520" t="s">
        <v>717</v>
      </c>
      <c r="J520" t="s">
        <v>729</v>
      </c>
      <c r="K520" t="s">
        <v>1251</v>
      </c>
      <c r="L520">
        <v>930.71</v>
      </c>
      <c r="M520">
        <v>1625.42</v>
      </c>
      <c r="N520">
        <v>0.13800000000000001</v>
      </c>
      <c r="O520">
        <v>7</v>
      </c>
    </row>
    <row r="521" spans="1:15" x14ac:dyDescent="0.25">
      <c r="A521" t="s">
        <v>533</v>
      </c>
      <c r="B521" s="2">
        <v>45047</v>
      </c>
      <c r="C521" s="2">
        <v>45064</v>
      </c>
      <c r="D521" t="s">
        <v>646</v>
      </c>
      <c r="E521" t="s">
        <v>651</v>
      </c>
      <c r="F521" t="s">
        <v>663</v>
      </c>
      <c r="G521" t="s">
        <v>701</v>
      </c>
      <c r="H521" t="s">
        <v>711</v>
      </c>
      <c r="I521" t="s">
        <v>721</v>
      </c>
      <c r="J521" t="s">
        <v>727</v>
      </c>
      <c r="K521" t="s">
        <v>1252</v>
      </c>
      <c r="L521">
        <v>327.97</v>
      </c>
      <c r="M521">
        <v>299.94</v>
      </c>
      <c r="N521">
        <v>4.9000000000000002E-2</v>
      </c>
      <c r="O521">
        <v>3</v>
      </c>
    </row>
    <row r="522" spans="1:15" x14ac:dyDescent="0.25">
      <c r="A522" t="s">
        <v>534</v>
      </c>
      <c r="B522" s="2">
        <v>45482</v>
      </c>
      <c r="C522" s="2">
        <v>45512</v>
      </c>
      <c r="D522" t="s">
        <v>649</v>
      </c>
      <c r="E522" t="s">
        <v>657</v>
      </c>
      <c r="F522" t="s">
        <v>673</v>
      </c>
      <c r="G522" t="s">
        <v>701</v>
      </c>
      <c r="H522" t="s">
        <v>711</v>
      </c>
      <c r="I522" t="s">
        <v>713</v>
      </c>
      <c r="J522" t="s">
        <v>727</v>
      </c>
      <c r="K522" t="s">
        <v>1253</v>
      </c>
      <c r="L522">
        <v>1062.3800000000001</v>
      </c>
      <c r="M522">
        <v>1503.96</v>
      </c>
      <c r="N522">
        <v>0.18</v>
      </c>
      <c r="O522">
        <v>6</v>
      </c>
    </row>
    <row r="523" spans="1:15" x14ac:dyDescent="0.25">
      <c r="A523" t="s">
        <v>535</v>
      </c>
      <c r="B523" s="2">
        <v>45056</v>
      </c>
      <c r="C523" s="2">
        <v>45073</v>
      </c>
      <c r="D523" t="s">
        <v>647</v>
      </c>
      <c r="E523" t="s">
        <v>654</v>
      </c>
      <c r="F523" t="s">
        <v>691</v>
      </c>
      <c r="G523" t="s">
        <v>704</v>
      </c>
      <c r="H523" t="s">
        <v>707</v>
      </c>
      <c r="I523" t="s">
        <v>724</v>
      </c>
      <c r="J523" t="s">
        <v>731</v>
      </c>
      <c r="K523" t="s">
        <v>1254</v>
      </c>
      <c r="L523">
        <v>1286.1600000000001</v>
      </c>
      <c r="M523">
        <v>3101.11</v>
      </c>
      <c r="N523">
        <v>0.1</v>
      </c>
      <c r="O523">
        <v>23</v>
      </c>
    </row>
    <row r="524" spans="1:15" x14ac:dyDescent="0.25">
      <c r="A524" t="s">
        <v>536</v>
      </c>
      <c r="B524" s="2">
        <v>45482</v>
      </c>
      <c r="C524" s="2">
        <v>45485</v>
      </c>
      <c r="D524" t="s">
        <v>647</v>
      </c>
      <c r="E524" t="s">
        <v>659</v>
      </c>
      <c r="F524" t="s">
        <v>685</v>
      </c>
      <c r="G524" t="s">
        <v>705</v>
      </c>
      <c r="H524" t="s">
        <v>707</v>
      </c>
      <c r="I524" t="s">
        <v>726</v>
      </c>
      <c r="J524" t="s">
        <v>733</v>
      </c>
      <c r="K524" t="s">
        <v>1255</v>
      </c>
      <c r="L524">
        <v>748.39</v>
      </c>
      <c r="M524">
        <v>979.42</v>
      </c>
      <c r="N524">
        <v>0</v>
      </c>
      <c r="O524">
        <v>23</v>
      </c>
    </row>
    <row r="525" spans="1:15" x14ac:dyDescent="0.25">
      <c r="A525" t="s">
        <v>537</v>
      </c>
      <c r="B525" s="2">
        <v>45406</v>
      </c>
      <c r="C525" s="2">
        <v>45422</v>
      </c>
      <c r="D525" t="s">
        <v>646</v>
      </c>
      <c r="E525" t="s">
        <v>650</v>
      </c>
      <c r="F525" t="s">
        <v>662</v>
      </c>
      <c r="G525" t="s">
        <v>703</v>
      </c>
      <c r="H525" t="s">
        <v>708</v>
      </c>
      <c r="I525" t="s">
        <v>725</v>
      </c>
      <c r="J525" t="s">
        <v>732</v>
      </c>
      <c r="K525" t="s">
        <v>1256</v>
      </c>
      <c r="L525">
        <v>513.30999999999995</v>
      </c>
      <c r="M525">
        <v>1186.26</v>
      </c>
      <c r="N525">
        <v>9.4E-2</v>
      </c>
      <c r="O525">
        <v>15</v>
      </c>
    </row>
    <row r="526" spans="1:15" x14ac:dyDescent="0.25">
      <c r="A526" t="s">
        <v>538</v>
      </c>
      <c r="B526" s="2">
        <v>45304</v>
      </c>
      <c r="C526" s="2">
        <v>45306</v>
      </c>
      <c r="D526" t="s">
        <v>648</v>
      </c>
      <c r="E526" t="s">
        <v>660</v>
      </c>
      <c r="F526" t="s">
        <v>686</v>
      </c>
      <c r="G526" t="s">
        <v>703</v>
      </c>
      <c r="H526" t="s">
        <v>711</v>
      </c>
      <c r="I526" t="s">
        <v>718</v>
      </c>
      <c r="J526" t="s">
        <v>727</v>
      </c>
      <c r="K526" t="s">
        <v>1257</v>
      </c>
      <c r="L526">
        <v>1061.3699999999999</v>
      </c>
      <c r="M526">
        <v>1938.33</v>
      </c>
      <c r="N526">
        <v>0.17</v>
      </c>
      <c r="O526">
        <v>4</v>
      </c>
    </row>
    <row r="527" spans="1:15" x14ac:dyDescent="0.25">
      <c r="A527" t="s">
        <v>539</v>
      </c>
      <c r="B527" s="2">
        <v>45398</v>
      </c>
      <c r="C527" s="2">
        <v>45409</v>
      </c>
      <c r="D527" t="s">
        <v>646</v>
      </c>
      <c r="E527" t="s">
        <v>650</v>
      </c>
      <c r="F527" t="s">
        <v>678</v>
      </c>
      <c r="G527" t="s">
        <v>706</v>
      </c>
      <c r="H527" t="s">
        <v>708</v>
      </c>
      <c r="I527" t="s">
        <v>726</v>
      </c>
      <c r="J527" t="s">
        <v>728</v>
      </c>
      <c r="K527" t="s">
        <v>1258</v>
      </c>
      <c r="L527">
        <v>401.3</v>
      </c>
      <c r="M527">
        <v>826.47</v>
      </c>
      <c r="N527">
        <v>0.22500000000000001</v>
      </c>
      <c r="O527">
        <v>13</v>
      </c>
    </row>
    <row r="528" spans="1:15" x14ac:dyDescent="0.25">
      <c r="A528" t="s">
        <v>540</v>
      </c>
      <c r="B528" s="2">
        <v>45695</v>
      </c>
      <c r="C528" s="2">
        <v>45704</v>
      </c>
      <c r="D528" t="s">
        <v>646</v>
      </c>
      <c r="E528" t="s">
        <v>651</v>
      </c>
      <c r="F528" t="s">
        <v>665</v>
      </c>
      <c r="G528" t="s">
        <v>705</v>
      </c>
      <c r="H528" t="s">
        <v>710</v>
      </c>
      <c r="I528" t="s">
        <v>712</v>
      </c>
      <c r="J528" t="s">
        <v>728</v>
      </c>
      <c r="K528" t="s">
        <v>1259</v>
      </c>
      <c r="L528">
        <v>90.68</v>
      </c>
      <c r="M528">
        <v>118.17</v>
      </c>
      <c r="N528">
        <v>0.13500000000000001</v>
      </c>
      <c r="O528">
        <v>21</v>
      </c>
    </row>
    <row r="529" spans="1:15" x14ac:dyDescent="0.25">
      <c r="A529" t="s">
        <v>541</v>
      </c>
      <c r="B529" s="2">
        <v>44938</v>
      </c>
      <c r="C529" s="2">
        <v>44952</v>
      </c>
      <c r="D529" t="s">
        <v>647</v>
      </c>
      <c r="E529" t="s">
        <v>659</v>
      </c>
      <c r="F529" t="s">
        <v>676</v>
      </c>
      <c r="G529" t="s">
        <v>703</v>
      </c>
      <c r="H529" t="s">
        <v>707</v>
      </c>
      <c r="I529" t="s">
        <v>724</v>
      </c>
      <c r="J529" t="s">
        <v>728</v>
      </c>
      <c r="K529" t="s">
        <v>1260</v>
      </c>
      <c r="L529">
        <v>1083.0899999999999</v>
      </c>
      <c r="M529">
        <v>1425.87</v>
      </c>
      <c r="N529">
        <v>0</v>
      </c>
      <c r="O529">
        <v>8</v>
      </c>
    </row>
    <row r="530" spans="1:15" x14ac:dyDescent="0.25">
      <c r="A530" t="s">
        <v>542</v>
      </c>
      <c r="B530" s="2">
        <v>45448</v>
      </c>
      <c r="C530" s="2">
        <v>45466</v>
      </c>
      <c r="D530" t="s">
        <v>646</v>
      </c>
      <c r="E530" t="s">
        <v>650</v>
      </c>
      <c r="F530" t="s">
        <v>664</v>
      </c>
      <c r="G530" t="s">
        <v>704</v>
      </c>
      <c r="H530" t="s">
        <v>710</v>
      </c>
      <c r="I530" t="s">
        <v>726</v>
      </c>
      <c r="J530" t="s">
        <v>731</v>
      </c>
      <c r="K530" t="s">
        <v>1261</v>
      </c>
      <c r="L530">
        <v>1208.74</v>
      </c>
      <c r="M530">
        <v>1594.78</v>
      </c>
      <c r="N530">
        <v>5.8999999999999997E-2</v>
      </c>
      <c r="O530">
        <v>39</v>
      </c>
    </row>
    <row r="531" spans="1:15" x14ac:dyDescent="0.25">
      <c r="A531" t="s">
        <v>543</v>
      </c>
      <c r="B531" s="2">
        <v>45162</v>
      </c>
      <c r="C531" s="2">
        <v>45189</v>
      </c>
      <c r="D531" t="s">
        <v>646</v>
      </c>
      <c r="E531" t="s">
        <v>661</v>
      </c>
      <c r="F531" t="s">
        <v>687</v>
      </c>
      <c r="G531" t="s">
        <v>705</v>
      </c>
      <c r="H531" t="s">
        <v>709</v>
      </c>
      <c r="I531" t="s">
        <v>724</v>
      </c>
      <c r="J531" t="s">
        <v>728</v>
      </c>
      <c r="K531" t="s">
        <v>1262</v>
      </c>
      <c r="L531">
        <v>1399.64</v>
      </c>
      <c r="M531">
        <v>3342.11</v>
      </c>
      <c r="N531">
        <v>0</v>
      </c>
      <c r="O531">
        <v>10</v>
      </c>
    </row>
    <row r="532" spans="1:15" x14ac:dyDescent="0.25">
      <c r="A532" t="s">
        <v>544</v>
      </c>
      <c r="B532" s="2">
        <v>45316</v>
      </c>
      <c r="C532" s="2">
        <v>45330</v>
      </c>
      <c r="D532" t="s">
        <v>647</v>
      </c>
      <c r="E532" t="s">
        <v>652</v>
      </c>
      <c r="F532" t="s">
        <v>666</v>
      </c>
      <c r="G532" t="s">
        <v>704</v>
      </c>
      <c r="H532" t="s">
        <v>709</v>
      </c>
      <c r="I532" t="s">
        <v>714</v>
      </c>
      <c r="J532" t="s">
        <v>729</v>
      </c>
      <c r="K532" t="s">
        <v>1263</v>
      </c>
      <c r="L532">
        <v>937.16</v>
      </c>
      <c r="M532">
        <v>1069.77</v>
      </c>
      <c r="N532">
        <v>3.7999999999999999E-2</v>
      </c>
      <c r="O532">
        <v>9</v>
      </c>
    </row>
    <row r="533" spans="1:15" x14ac:dyDescent="0.25">
      <c r="A533" t="s">
        <v>545</v>
      </c>
      <c r="B533" s="2">
        <v>45727</v>
      </c>
      <c r="C533" s="2">
        <v>45742</v>
      </c>
      <c r="D533" t="s">
        <v>649</v>
      </c>
      <c r="E533" t="s">
        <v>656</v>
      </c>
      <c r="F533" t="s">
        <v>671</v>
      </c>
      <c r="G533" t="s">
        <v>705</v>
      </c>
      <c r="H533" t="s">
        <v>708</v>
      </c>
      <c r="I533" t="s">
        <v>714</v>
      </c>
      <c r="J533" t="s">
        <v>730</v>
      </c>
      <c r="K533" t="s">
        <v>1264</v>
      </c>
      <c r="L533">
        <v>116.97</v>
      </c>
      <c r="M533">
        <v>140.82</v>
      </c>
      <c r="N533">
        <v>0.122</v>
      </c>
      <c r="O533">
        <v>5</v>
      </c>
    </row>
    <row r="534" spans="1:15" x14ac:dyDescent="0.25">
      <c r="A534" t="s">
        <v>546</v>
      </c>
      <c r="B534" s="2">
        <v>45769</v>
      </c>
      <c r="C534" s="2">
        <v>45789</v>
      </c>
      <c r="D534" t="s">
        <v>649</v>
      </c>
      <c r="E534" t="s">
        <v>657</v>
      </c>
      <c r="F534" t="s">
        <v>679</v>
      </c>
      <c r="G534" t="s">
        <v>706</v>
      </c>
      <c r="H534" t="s">
        <v>709</v>
      </c>
      <c r="I534" t="s">
        <v>723</v>
      </c>
      <c r="J534" t="s">
        <v>732</v>
      </c>
      <c r="K534" t="s">
        <v>1265</v>
      </c>
      <c r="L534">
        <v>59.51</v>
      </c>
      <c r="M534">
        <v>67.040000000000006</v>
      </c>
      <c r="N534">
        <v>0.114</v>
      </c>
      <c r="O534">
        <v>9</v>
      </c>
    </row>
    <row r="535" spans="1:15" x14ac:dyDescent="0.25">
      <c r="A535" t="s">
        <v>547</v>
      </c>
      <c r="B535" s="2">
        <v>45155</v>
      </c>
      <c r="C535" s="2">
        <v>45172</v>
      </c>
      <c r="D535" t="s">
        <v>646</v>
      </c>
      <c r="E535" t="s">
        <v>661</v>
      </c>
      <c r="F535" t="s">
        <v>687</v>
      </c>
      <c r="G535" t="s">
        <v>706</v>
      </c>
      <c r="H535" t="s">
        <v>707</v>
      </c>
      <c r="I535" t="s">
        <v>720</v>
      </c>
      <c r="J535" t="s">
        <v>730</v>
      </c>
      <c r="K535" t="s">
        <v>1266</v>
      </c>
      <c r="L535">
        <v>676.37</v>
      </c>
      <c r="M535">
        <v>1276.67</v>
      </c>
      <c r="N535">
        <v>6.6000000000000003E-2</v>
      </c>
      <c r="O535">
        <v>10</v>
      </c>
    </row>
    <row r="536" spans="1:15" x14ac:dyDescent="0.25">
      <c r="A536" t="s">
        <v>548</v>
      </c>
      <c r="B536" s="2">
        <v>45832</v>
      </c>
      <c r="C536" s="2">
        <v>45852</v>
      </c>
      <c r="D536" t="s">
        <v>646</v>
      </c>
      <c r="E536" t="s">
        <v>661</v>
      </c>
      <c r="F536" t="s">
        <v>682</v>
      </c>
      <c r="G536" t="s">
        <v>706</v>
      </c>
      <c r="H536" t="s">
        <v>709</v>
      </c>
      <c r="I536" t="s">
        <v>713</v>
      </c>
      <c r="J536" t="s">
        <v>731</v>
      </c>
      <c r="K536" t="s">
        <v>1267</v>
      </c>
      <c r="L536">
        <v>1151.06</v>
      </c>
      <c r="M536">
        <v>2821.36</v>
      </c>
      <c r="N536">
        <v>0.248</v>
      </c>
      <c r="O536">
        <v>20</v>
      </c>
    </row>
    <row r="537" spans="1:15" x14ac:dyDescent="0.25">
      <c r="A537" t="s">
        <v>549</v>
      </c>
      <c r="B537" s="2">
        <v>45667</v>
      </c>
      <c r="C537" s="2">
        <v>45694</v>
      </c>
      <c r="D537" t="s">
        <v>648</v>
      </c>
      <c r="E537" t="s">
        <v>655</v>
      </c>
      <c r="F537" t="s">
        <v>672</v>
      </c>
      <c r="G537" t="s">
        <v>703</v>
      </c>
      <c r="H537" t="s">
        <v>707</v>
      </c>
      <c r="I537" t="s">
        <v>717</v>
      </c>
      <c r="J537" t="s">
        <v>731</v>
      </c>
      <c r="K537" t="s">
        <v>1268</v>
      </c>
      <c r="L537">
        <v>725.62</v>
      </c>
      <c r="M537">
        <v>1559.19</v>
      </c>
      <c r="N537">
        <v>0.19</v>
      </c>
      <c r="O537">
        <v>12</v>
      </c>
    </row>
    <row r="538" spans="1:15" x14ac:dyDescent="0.25">
      <c r="A538" t="s">
        <v>550</v>
      </c>
      <c r="B538" s="2">
        <v>45108</v>
      </c>
      <c r="C538" s="2">
        <v>45118</v>
      </c>
      <c r="D538" t="s">
        <v>649</v>
      </c>
      <c r="E538" t="s">
        <v>657</v>
      </c>
      <c r="F538" t="s">
        <v>690</v>
      </c>
      <c r="G538" t="s">
        <v>701</v>
      </c>
      <c r="H538" t="s">
        <v>711</v>
      </c>
      <c r="I538" t="s">
        <v>721</v>
      </c>
      <c r="J538" t="s">
        <v>729</v>
      </c>
      <c r="K538" t="s">
        <v>1269</v>
      </c>
      <c r="L538">
        <v>479.5</v>
      </c>
      <c r="M538">
        <v>656.66</v>
      </c>
      <c r="N538">
        <v>0.14899999999999999</v>
      </c>
      <c r="O538">
        <v>14</v>
      </c>
    </row>
    <row r="539" spans="1:15" x14ac:dyDescent="0.25">
      <c r="A539" t="s">
        <v>551</v>
      </c>
      <c r="B539" s="2">
        <v>45520</v>
      </c>
      <c r="C539" s="2">
        <v>45530</v>
      </c>
      <c r="D539" t="s">
        <v>648</v>
      </c>
      <c r="E539" t="s">
        <v>660</v>
      </c>
      <c r="F539" t="s">
        <v>677</v>
      </c>
      <c r="G539" t="s">
        <v>701</v>
      </c>
      <c r="H539" t="s">
        <v>710</v>
      </c>
      <c r="I539" t="s">
        <v>716</v>
      </c>
      <c r="J539" t="s">
        <v>731</v>
      </c>
      <c r="K539" t="s">
        <v>1121</v>
      </c>
      <c r="L539">
        <v>1291.7</v>
      </c>
      <c r="M539">
        <v>2657.84</v>
      </c>
      <c r="N539">
        <v>8.6999999999999994E-2</v>
      </c>
      <c r="O539">
        <v>21</v>
      </c>
    </row>
    <row r="540" spans="1:15" x14ac:dyDescent="0.25">
      <c r="A540" t="s">
        <v>552</v>
      </c>
      <c r="B540" s="2">
        <v>45114</v>
      </c>
      <c r="C540" s="2">
        <v>45120</v>
      </c>
      <c r="D540" t="s">
        <v>646</v>
      </c>
      <c r="E540" t="s">
        <v>661</v>
      </c>
      <c r="F540" t="s">
        <v>695</v>
      </c>
      <c r="G540" t="s">
        <v>705</v>
      </c>
      <c r="H540" t="s">
        <v>709</v>
      </c>
      <c r="I540" t="s">
        <v>717</v>
      </c>
      <c r="J540" t="s">
        <v>733</v>
      </c>
      <c r="K540" t="s">
        <v>1270</v>
      </c>
      <c r="L540">
        <v>612.59</v>
      </c>
      <c r="M540">
        <v>1424.74</v>
      </c>
      <c r="N540">
        <v>4.3999999999999997E-2</v>
      </c>
      <c r="O540">
        <v>15</v>
      </c>
    </row>
    <row r="541" spans="1:15" x14ac:dyDescent="0.25">
      <c r="A541" t="s">
        <v>553</v>
      </c>
      <c r="B541" s="2">
        <v>45288</v>
      </c>
      <c r="C541" s="2">
        <v>45292</v>
      </c>
      <c r="D541" t="s">
        <v>646</v>
      </c>
      <c r="E541" t="s">
        <v>661</v>
      </c>
      <c r="F541" t="s">
        <v>695</v>
      </c>
      <c r="G541" t="s">
        <v>702</v>
      </c>
      <c r="H541" t="s">
        <v>710</v>
      </c>
      <c r="I541" t="s">
        <v>720</v>
      </c>
      <c r="J541" t="s">
        <v>728</v>
      </c>
      <c r="K541" t="s">
        <v>1271</v>
      </c>
      <c r="L541">
        <v>1141.8</v>
      </c>
      <c r="M541">
        <v>2318.7399999999998</v>
      </c>
      <c r="N541">
        <v>0.107</v>
      </c>
      <c r="O541">
        <v>32</v>
      </c>
    </row>
    <row r="542" spans="1:15" x14ac:dyDescent="0.25">
      <c r="A542" t="s">
        <v>554</v>
      </c>
      <c r="B542" s="2">
        <v>44952</v>
      </c>
      <c r="C542" s="2">
        <v>44972</v>
      </c>
      <c r="D542" t="s">
        <v>649</v>
      </c>
      <c r="E542" t="s">
        <v>656</v>
      </c>
      <c r="F542" t="s">
        <v>671</v>
      </c>
      <c r="G542" t="s">
        <v>705</v>
      </c>
      <c r="H542" t="s">
        <v>708</v>
      </c>
      <c r="I542" t="s">
        <v>719</v>
      </c>
      <c r="J542" t="s">
        <v>729</v>
      </c>
      <c r="K542" t="s">
        <v>1272</v>
      </c>
      <c r="L542">
        <v>492.62</v>
      </c>
      <c r="M542">
        <v>366.7</v>
      </c>
      <c r="N542">
        <v>8.8999999999999996E-2</v>
      </c>
      <c r="O542">
        <v>10</v>
      </c>
    </row>
    <row r="543" spans="1:15" x14ac:dyDescent="0.25">
      <c r="A543" t="s">
        <v>555</v>
      </c>
      <c r="B543" s="2">
        <v>45115</v>
      </c>
      <c r="C543" s="2">
        <v>45116</v>
      </c>
      <c r="D543" t="s">
        <v>646</v>
      </c>
      <c r="E543" t="s">
        <v>650</v>
      </c>
      <c r="F543" t="s">
        <v>664</v>
      </c>
      <c r="G543" t="s">
        <v>704</v>
      </c>
      <c r="H543" t="s">
        <v>708</v>
      </c>
      <c r="I543" t="s">
        <v>726</v>
      </c>
      <c r="J543" t="s">
        <v>731</v>
      </c>
      <c r="K543" t="s">
        <v>1273</v>
      </c>
      <c r="L543">
        <v>1258.72</v>
      </c>
      <c r="M543">
        <v>2797.41</v>
      </c>
      <c r="N543">
        <v>0</v>
      </c>
      <c r="O543">
        <v>7</v>
      </c>
    </row>
    <row r="544" spans="1:15" x14ac:dyDescent="0.25">
      <c r="A544" t="s">
        <v>556</v>
      </c>
      <c r="B544" s="2">
        <v>45450</v>
      </c>
      <c r="C544" s="2">
        <v>45452</v>
      </c>
      <c r="D544" t="s">
        <v>647</v>
      </c>
      <c r="E544" t="s">
        <v>659</v>
      </c>
      <c r="F544" t="s">
        <v>685</v>
      </c>
      <c r="G544" t="s">
        <v>701</v>
      </c>
      <c r="H544" t="s">
        <v>707</v>
      </c>
      <c r="I544" t="s">
        <v>719</v>
      </c>
      <c r="J544" t="s">
        <v>732</v>
      </c>
      <c r="K544" t="s">
        <v>1274</v>
      </c>
      <c r="L544">
        <v>1370.28</v>
      </c>
      <c r="M544">
        <v>2209.66</v>
      </c>
      <c r="N544">
        <v>0.13300000000000001</v>
      </c>
      <c r="O544">
        <v>16</v>
      </c>
    </row>
    <row r="545" spans="1:15" x14ac:dyDescent="0.25">
      <c r="A545" t="s">
        <v>557</v>
      </c>
      <c r="B545" s="2">
        <v>44968</v>
      </c>
      <c r="C545" s="2">
        <v>44969</v>
      </c>
      <c r="D545" t="s">
        <v>646</v>
      </c>
      <c r="E545" t="s">
        <v>651</v>
      </c>
      <c r="F545" t="s">
        <v>663</v>
      </c>
      <c r="G545" t="s">
        <v>703</v>
      </c>
      <c r="H545" t="s">
        <v>711</v>
      </c>
      <c r="I545" t="s">
        <v>726</v>
      </c>
      <c r="J545" t="s">
        <v>733</v>
      </c>
      <c r="K545" t="s">
        <v>1275</v>
      </c>
      <c r="L545">
        <v>944.61</v>
      </c>
      <c r="M545">
        <v>839.04</v>
      </c>
      <c r="N545">
        <v>5.8999999999999997E-2</v>
      </c>
      <c r="O545">
        <v>6</v>
      </c>
    </row>
    <row r="546" spans="1:15" x14ac:dyDescent="0.25">
      <c r="A546" t="s">
        <v>558</v>
      </c>
      <c r="B546" s="2">
        <v>45108</v>
      </c>
      <c r="C546" s="2">
        <v>45115</v>
      </c>
      <c r="D546" t="s">
        <v>649</v>
      </c>
      <c r="E546" t="s">
        <v>656</v>
      </c>
      <c r="F546" t="s">
        <v>698</v>
      </c>
      <c r="G546" t="s">
        <v>705</v>
      </c>
      <c r="H546" t="s">
        <v>710</v>
      </c>
      <c r="I546" t="s">
        <v>725</v>
      </c>
      <c r="J546" t="s">
        <v>731</v>
      </c>
      <c r="K546" t="s">
        <v>1276</v>
      </c>
      <c r="L546">
        <v>460.21</v>
      </c>
      <c r="M546">
        <v>1139.1500000000001</v>
      </c>
      <c r="N546">
        <v>0.115</v>
      </c>
      <c r="O546">
        <v>14</v>
      </c>
    </row>
    <row r="547" spans="1:15" x14ac:dyDescent="0.25">
      <c r="A547" t="s">
        <v>559</v>
      </c>
      <c r="B547" s="2">
        <v>45889</v>
      </c>
      <c r="C547" s="2">
        <v>45895</v>
      </c>
      <c r="D547" t="s">
        <v>648</v>
      </c>
      <c r="E547" t="s">
        <v>660</v>
      </c>
      <c r="F547" t="s">
        <v>700</v>
      </c>
      <c r="G547" t="s">
        <v>701</v>
      </c>
      <c r="H547" t="s">
        <v>707</v>
      </c>
      <c r="I547" t="s">
        <v>724</v>
      </c>
      <c r="J547" t="s">
        <v>729</v>
      </c>
      <c r="K547" t="s">
        <v>1277</v>
      </c>
      <c r="L547">
        <v>1304.95</v>
      </c>
      <c r="M547">
        <v>1712.03</v>
      </c>
      <c r="N547">
        <v>0.21199999999999999</v>
      </c>
      <c r="O547">
        <v>8</v>
      </c>
    </row>
    <row r="548" spans="1:15" x14ac:dyDescent="0.25">
      <c r="A548" t="s">
        <v>560</v>
      </c>
      <c r="B548" s="2">
        <v>45355</v>
      </c>
      <c r="C548" s="2">
        <v>45367</v>
      </c>
      <c r="D548" t="s">
        <v>646</v>
      </c>
      <c r="E548" t="s">
        <v>661</v>
      </c>
      <c r="F548" t="s">
        <v>682</v>
      </c>
      <c r="G548" t="s">
        <v>706</v>
      </c>
      <c r="H548" t="s">
        <v>710</v>
      </c>
      <c r="I548" t="s">
        <v>724</v>
      </c>
      <c r="J548" t="s">
        <v>732</v>
      </c>
      <c r="K548" t="s">
        <v>1278</v>
      </c>
      <c r="L548">
        <v>441.08</v>
      </c>
      <c r="M548">
        <v>1054.29</v>
      </c>
      <c r="N548">
        <v>0.23699999999999999</v>
      </c>
      <c r="O548">
        <v>6</v>
      </c>
    </row>
    <row r="549" spans="1:15" x14ac:dyDescent="0.25">
      <c r="A549" t="s">
        <v>561</v>
      </c>
      <c r="B549" s="2">
        <v>45177</v>
      </c>
      <c r="C549" s="2">
        <v>45201</v>
      </c>
      <c r="D549" t="s">
        <v>648</v>
      </c>
      <c r="E549" t="s">
        <v>653</v>
      </c>
      <c r="F549" t="s">
        <v>667</v>
      </c>
      <c r="G549" t="s">
        <v>702</v>
      </c>
      <c r="H549" t="s">
        <v>711</v>
      </c>
      <c r="I549" t="s">
        <v>720</v>
      </c>
      <c r="J549" t="s">
        <v>733</v>
      </c>
      <c r="K549" t="s">
        <v>1279</v>
      </c>
      <c r="L549">
        <v>1299.03</v>
      </c>
      <c r="M549">
        <v>2451.2199999999998</v>
      </c>
      <c r="N549">
        <v>0.20799999999999999</v>
      </c>
      <c r="O549">
        <v>8</v>
      </c>
    </row>
    <row r="550" spans="1:15" x14ac:dyDescent="0.25">
      <c r="A550" t="s">
        <v>562</v>
      </c>
      <c r="B550" s="2">
        <v>44985</v>
      </c>
      <c r="C550" s="2">
        <v>44991</v>
      </c>
      <c r="D550" t="s">
        <v>649</v>
      </c>
      <c r="E550" t="s">
        <v>656</v>
      </c>
      <c r="F550" t="s">
        <v>698</v>
      </c>
      <c r="G550" t="s">
        <v>705</v>
      </c>
      <c r="H550" t="s">
        <v>709</v>
      </c>
      <c r="I550" t="s">
        <v>726</v>
      </c>
      <c r="J550" t="s">
        <v>728</v>
      </c>
      <c r="K550" t="s">
        <v>1280</v>
      </c>
      <c r="L550">
        <v>880.02</v>
      </c>
      <c r="M550">
        <v>1251.21</v>
      </c>
      <c r="N550">
        <v>0.123</v>
      </c>
      <c r="O550">
        <v>29</v>
      </c>
    </row>
    <row r="551" spans="1:15" x14ac:dyDescent="0.25">
      <c r="A551" t="s">
        <v>563</v>
      </c>
      <c r="B551" s="2">
        <v>45486</v>
      </c>
      <c r="C551" s="2">
        <v>45507</v>
      </c>
      <c r="D551" t="s">
        <v>648</v>
      </c>
      <c r="E551" t="s">
        <v>655</v>
      </c>
      <c r="F551" t="s">
        <v>692</v>
      </c>
      <c r="G551" t="s">
        <v>701</v>
      </c>
      <c r="H551" t="s">
        <v>709</v>
      </c>
      <c r="I551" t="s">
        <v>724</v>
      </c>
      <c r="J551" t="s">
        <v>732</v>
      </c>
      <c r="K551" t="s">
        <v>1281</v>
      </c>
      <c r="L551">
        <v>702.98</v>
      </c>
      <c r="M551">
        <v>1104.8</v>
      </c>
      <c r="N551">
        <v>0.17499999999999999</v>
      </c>
      <c r="O551">
        <v>12</v>
      </c>
    </row>
    <row r="552" spans="1:15" x14ac:dyDescent="0.25">
      <c r="A552" t="s">
        <v>564</v>
      </c>
      <c r="B552" s="2">
        <v>45633</v>
      </c>
      <c r="C552" s="2">
        <v>45652</v>
      </c>
      <c r="D552" t="s">
        <v>649</v>
      </c>
      <c r="E552" t="s">
        <v>658</v>
      </c>
      <c r="F552" t="s">
        <v>683</v>
      </c>
      <c r="G552" t="s">
        <v>706</v>
      </c>
      <c r="H552" t="s">
        <v>708</v>
      </c>
      <c r="I552" t="s">
        <v>726</v>
      </c>
      <c r="J552" t="s">
        <v>729</v>
      </c>
      <c r="K552" t="s">
        <v>1282</v>
      </c>
      <c r="L552">
        <v>1035.24</v>
      </c>
      <c r="M552">
        <v>2383.41</v>
      </c>
      <c r="N552">
        <v>0.17</v>
      </c>
      <c r="O552">
        <v>15</v>
      </c>
    </row>
    <row r="553" spans="1:15" x14ac:dyDescent="0.25">
      <c r="A553" t="s">
        <v>565</v>
      </c>
      <c r="B553" s="2">
        <v>45875</v>
      </c>
      <c r="C553" s="2">
        <v>45892</v>
      </c>
      <c r="D553" t="s">
        <v>648</v>
      </c>
      <c r="E553" t="s">
        <v>655</v>
      </c>
      <c r="F553" t="s">
        <v>672</v>
      </c>
      <c r="G553" t="s">
        <v>704</v>
      </c>
      <c r="H553" t="s">
        <v>710</v>
      </c>
      <c r="I553" t="s">
        <v>720</v>
      </c>
      <c r="J553" t="s">
        <v>732</v>
      </c>
      <c r="K553" t="s">
        <v>1283</v>
      </c>
      <c r="L553">
        <v>86.64</v>
      </c>
      <c r="M553">
        <v>213.06</v>
      </c>
      <c r="N553">
        <v>0.21199999999999999</v>
      </c>
      <c r="O553">
        <v>11</v>
      </c>
    </row>
    <row r="554" spans="1:15" x14ac:dyDescent="0.25">
      <c r="A554" t="s">
        <v>566</v>
      </c>
      <c r="B554" s="2">
        <v>44988</v>
      </c>
      <c r="C554" s="2">
        <v>45005</v>
      </c>
      <c r="D554" t="s">
        <v>647</v>
      </c>
      <c r="E554" t="s">
        <v>652</v>
      </c>
      <c r="F554" t="s">
        <v>694</v>
      </c>
      <c r="G554" t="s">
        <v>705</v>
      </c>
      <c r="H554" t="s">
        <v>708</v>
      </c>
      <c r="I554" t="s">
        <v>726</v>
      </c>
      <c r="J554" t="s">
        <v>729</v>
      </c>
      <c r="K554" t="s">
        <v>1284</v>
      </c>
      <c r="L554">
        <v>1171.17</v>
      </c>
      <c r="M554">
        <v>2030.64</v>
      </c>
      <c r="N554">
        <v>0.157</v>
      </c>
      <c r="O554">
        <v>11</v>
      </c>
    </row>
    <row r="555" spans="1:15" x14ac:dyDescent="0.25">
      <c r="A555" t="s">
        <v>567</v>
      </c>
      <c r="B555" s="2">
        <v>45704</v>
      </c>
      <c r="C555" s="2">
        <v>45733</v>
      </c>
      <c r="D555" t="s">
        <v>649</v>
      </c>
      <c r="E555" t="s">
        <v>656</v>
      </c>
      <c r="F555" t="s">
        <v>684</v>
      </c>
      <c r="G555" t="s">
        <v>704</v>
      </c>
      <c r="H555" t="s">
        <v>707</v>
      </c>
      <c r="I555" t="s">
        <v>716</v>
      </c>
      <c r="J555" t="s">
        <v>733</v>
      </c>
      <c r="K555" t="s">
        <v>1285</v>
      </c>
      <c r="L555">
        <v>730.42</v>
      </c>
      <c r="M555">
        <v>956.7</v>
      </c>
      <c r="N555">
        <v>4.2000000000000003E-2</v>
      </c>
      <c r="O555">
        <v>22</v>
      </c>
    </row>
    <row r="556" spans="1:15" x14ac:dyDescent="0.25">
      <c r="A556" t="s">
        <v>568</v>
      </c>
      <c r="B556" s="2">
        <v>45703</v>
      </c>
      <c r="C556" s="2">
        <v>45717</v>
      </c>
      <c r="D556" t="s">
        <v>646</v>
      </c>
      <c r="E556" t="s">
        <v>650</v>
      </c>
      <c r="F556" t="s">
        <v>675</v>
      </c>
      <c r="G556" t="s">
        <v>702</v>
      </c>
      <c r="H556" t="s">
        <v>711</v>
      </c>
      <c r="I556" t="s">
        <v>716</v>
      </c>
      <c r="J556" t="s">
        <v>733</v>
      </c>
      <c r="K556" t="s">
        <v>1286</v>
      </c>
      <c r="L556">
        <v>1162.8599999999999</v>
      </c>
      <c r="M556">
        <v>1447.68</v>
      </c>
      <c r="N556">
        <v>8.6999999999999994E-2</v>
      </c>
      <c r="O556">
        <v>12</v>
      </c>
    </row>
    <row r="557" spans="1:15" x14ac:dyDescent="0.25">
      <c r="A557" t="s">
        <v>569</v>
      </c>
      <c r="B557" s="2">
        <v>45535</v>
      </c>
      <c r="C557" s="2">
        <v>45561</v>
      </c>
      <c r="D557" t="s">
        <v>647</v>
      </c>
      <c r="E557" t="s">
        <v>652</v>
      </c>
      <c r="F557" t="s">
        <v>689</v>
      </c>
      <c r="G557" t="s">
        <v>702</v>
      </c>
      <c r="H557" t="s">
        <v>708</v>
      </c>
      <c r="I557" t="s">
        <v>714</v>
      </c>
      <c r="J557" t="s">
        <v>730</v>
      </c>
      <c r="K557" t="s">
        <v>1287</v>
      </c>
      <c r="L557">
        <v>1189.03</v>
      </c>
      <c r="M557">
        <v>2949.62</v>
      </c>
      <c r="N557">
        <v>0.125</v>
      </c>
      <c r="O557">
        <v>13</v>
      </c>
    </row>
    <row r="558" spans="1:15" x14ac:dyDescent="0.25">
      <c r="A558" t="s">
        <v>570</v>
      </c>
      <c r="B558" s="2">
        <v>45053</v>
      </c>
      <c r="C558" s="2">
        <v>45066</v>
      </c>
      <c r="D558" t="s">
        <v>647</v>
      </c>
      <c r="E558" t="s">
        <v>654</v>
      </c>
      <c r="F558" t="s">
        <v>691</v>
      </c>
      <c r="G558" t="s">
        <v>706</v>
      </c>
      <c r="H558" t="s">
        <v>707</v>
      </c>
      <c r="I558" t="s">
        <v>726</v>
      </c>
      <c r="J558" t="s">
        <v>733</v>
      </c>
      <c r="K558" t="s">
        <v>1288</v>
      </c>
      <c r="L558">
        <v>1443.28</v>
      </c>
      <c r="M558">
        <v>2580.5700000000002</v>
      </c>
      <c r="N558">
        <v>0</v>
      </c>
      <c r="O558">
        <v>18</v>
      </c>
    </row>
    <row r="559" spans="1:15" x14ac:dyDescent="0.25">
      <c r="A559" t="s">
        <v>571</v>
      </c>
      <c r="B559" s="2">
        <v>45791</v>
      </c>
      <c r="C559" s="2">
        <v>45789</v>
      </c>
      <c r="D559" t="s">
        <v>648</v>
      </c>
      <c r="E559" t="s">
        <v>653</v>
      </c>
      <c r="F559" t="s">
        <v>688</v>
      </c>
      <c r="G559" t="s">
        <v>703</v>
      </c>
      <c r="H559" t="s">
        <v>710</v>
      </c>
      <c r="I559" t="s">
        <v>721</v>
      </c>
      <c r="J559" t="s">
        <v>728</v>
      </c>
      <c r="K559" t="s">
        <v>1289</v>
      </c>
      <c r="L559">
        <v>883.5</v>
      </c>
      <c r="M559">
        <v>1978.91</v>
      </c>
      <c r="N559">
        <v>5.3999999999999999E-2</v>
      </c>
      <c r="O559">
        <v>27</v>
      </c>
    </row>
    <row r="560" spans="1:15" x14ac:dyDescent="0.25">
      <c r="A560" t="s">
        <v>572</v>
      </c>
      <c r="B560" s="2">
        <v>45362</v>
      </c>
      <c r="C560" s="2">
        <v>45380</v>
      </c>
      <c r="D560" t="s">
        <v>648</v>
      </c>
      <c r="E560" t="s">
        <v>660</v>
      </c>
      <c r="F560" t="s">
        <v>700</v>
      </c>
      <c r="G560" t="s">
        <v>701</v>
      </c>
      <c r="H560" t="s">
        <v>707</v>
      </c>
      <c r="I560" t="s">
        <v>724</v>
      </c>
      <c r="J560" t="s">
        <v>732</v>
      </c>
      <c r="K560" t="s">
        <v>1290</v>
      </c>
      <c r="L560">
        <v>710.98</v>
      </c>
      <c r="M560">
        <v>1481.45</v>
      </c>
      <c r="N560">
        <v>0.21099999999999999</v>
      </c>
      <c r="O560">
        <v>9</v>
      </c>
    </row>
    <row r="561" spans="1:15" x14ac:dyDescent="0.25">
      <c r="A561" t="s">
        <v>573</v>
      </c>
      <c r="B561" s="2">
        <v>45430</v>
      </c>
      <c r="C561" s="2">
        <v>45434</v>
      </c>
      <c r="D561" t="s">
        <v>646</v>
      </c>
      <c r="E561" t="s">
        <v>650</v>
      </c>
      <c r="F561" t="s">
        <v>664</v>
      </c>
      <c r="G561" t="s">
        <v>701</v>
      </c>
      <c r="H561" t="s">
        <v>711</v>
      </c>
      <c r="I561" t="s">
        <v>722</v>
      </c>
      <c r="J561" t="s">
        <v>733</v>
      </c>
      <c r="K561" t="s">
        <v>1291</v>
      </c>
      <c r="L561">
        <v>857.42</v>
      </c>
      <c r="M561">
        <v>1658.92</v>
      </c>
      <c r="N561">
        <v>0.122</v>
      </c>
      <c r="O561">
        <v>9</v>
      </c>
    </row>
    <row r="562" spans="1:15" x14ac:dyDescent="0.25">
      <c r="A562" t="s">
        <v>574</v>
      </c>
      <c r="B562" s="2">
        <v>45299</v>
      </c>
      <c r="C562" s="2">
        <v>45303</v>
      </c>
      <c r="D562" t="s">
        <v>647</v>
      </c>
      <c r="E562" t="s">
        <v>654</v>
      </c>
      <c r="F562" t="s">
        <v>668</v>
      </c>
      <c r="G562" t="s">
        <v>701</v>
      </c>
      <c r="H562" t="s">
        <v>711</v>
      </c>
      <c r="I562" t="s">
        <v>718</v>
      </c>
      <c r="J562" t="s">
        <v>728</v>
      </c>
      <c r="K562" t="s">
        <v>1292</v>
      </c>
      <c r="L562">
        <v>802.32</v>
      </c>
      <c r="M562">
        <v>602.34</v>
      </c>
      <c r="N562">
        <v>0.12</v>
      </c>
      <c r="O562">
        <v>25</v>
      </c>
    </row>
    <row r="563" spans="1:15" x14ac:dyDescent="0.25">
      <c r="A563" t="s">
        <v>575</v>
      </c>
      <c r="B563" s="2">
        <v>45590</v>
      </c>
      <c r="C563" s="2">
        <v>45601</v>
      </c>
      <c r="D563" t="s">
        <v>648</v>
      </c>
      <c r="E563" t="s">
        <v>660</v>
      </c>
      <c r="F563" t="s">
        <v>700</v>
      </c>
      <c r="G563" t="s">
        <v>701</v>
      </c>
      <c r="H563" t="s">
        <v>710</v>
      </c>
      <c r="I563" t="s">
        <v>725</v>
      </c>
      <c r="J563" t="s">
        <v>727</v>
      </c>
      <c r="K563" t="s">
        <v>1293</v>
      </c>
      <c r="L563">
        <v>446.66</v>
      </c>
      <c r="M563">
        <v>527.64</v>
      </c>
      <c r="N563">
        <v>0.14499999999999999</v>
      </c>
      <c r="O563">
        <v>15</v>
      </c>
    </row>
    <row r="564" spans="1:15" x14ac:dyDescent="0.25">
      <c r="A564" t="s">
        <v>576</v>
      </c>
      <c r="B564" s="2">
        <v>45626</v>
      </c>
      <c r="C564" s="2">
        <v>45645</v>
      </c>
      <c r="D564" t="s">
        <v>646</v>
      </c>
      <c r="E564" t="s">
        <v>650</v>
      </c>
      <c r="F564" t="s">
        <v>662</v>
      </c>
      <c r="G564" t="s">
        <v>701</v>
      </c>
      <c r="H564" t="s">
        <v>708</v>
      </c>
      <c r="I564" t="s">
        <v>716</v>
      </c>
      <c r="J564" t="s">
        <v>730</v>
      </c>
      <c r="K564" t="s">
        <v>1294</v>
      </c>
      <c r="L564">
        <v>1195.98</v>
      </c>
      <c r="M564">
        <v>1841.9</v>
      </c>
      <c r="N564">
        <v>5.5E-2</v>
      </c>
      <c r="O564">
        <v>19</v>
      </c>
    </row>
    <row r="565" spans="1:15" x14ac:dyDescent="0.25">
      <c r="A565" t="s">
        <v>577</v>
      </c>
      <c r="B565" s="2">
        <v>45029</v>
      </c>
      <c r="C565" s="2">
        <v>45048</v>
      </c>
      <c r="D565" t="s">
        <v>648</v>
      </c>
      <c r="E565" t="s">
        <v>653</v>
      </c>
      <c r="F565" t="s">
        <v>681</v>
      </c>
      <c r="G565" t="s">
        <v>704</v>
      </c>
      <c r="H565" t="s">
        <v>710</v>
      </c>
      <c r="I565" t="s">
        <v>718</v>
      </c>
      <c r="J565" t="s">
        <v>732</v>
      </c>
      <c r="K565" t="s">
        <v>1295</v>
      </c>
      <c r="L565">
        <v>671.05</v>
      </c>
      <c r="M565">
        <v>1645.48</v>
      </c>
      <c r="N565">
        <v>0.13700000000000001</v>
      </c>
      <c r="O565">
        <v>6</v>
      </c>
    </row>
    <row r="566" spans="1:15" x14ac:dyDescent="0.25">
      <c r="A566" t="s">
        <v>578</v>
      </c>
      <c r="B566" s="2">
        <v>45692</v>
      </c>
      <c r="C566" s="2">
        <v>45696</v>
      </c>
      <c r="D566" t="s">
        <v>649</v>
      </c>
      <c r="E566" t="s">
        <v>658</v>
      </c>
      <c r="F566" t="s">
        <v>693</v>
      </c>
      <c r="G566" t="s">
        <v>706</v>
      </c>
      <c r="H566" t="s">
        <v>709</v>
      </c>
      <c r="I566" t="s">
        <v>716</v>
      </c>
      <c r="J566" t="s">
        <v>729</v>
      </c>
      <c r="K566" t="s">
        <v>1296</v>
      </c>
      <c r="L566">
        <v>586.21</v>
      </c>
      <c r="M566">
        <v>727.22</v>
      </c>
      <c r="N566">
        <v>6.8000000000000005E-2</v>
      </c>
      <c r="O566">
        <v>15</v>
      </c>
    </row>
    <row r="567" spans="1:15" x14ac:dyDescent="0.25">
      <c r="A567" t="s">
        <v>579</v>
      </c>
      <c r="B567" s="2">
        <v>45315</v>
      </c>
      <c r="C567" s="2">
        <v>45326</v>
      </c>
      <c r="D567" t="s">
        <v>649</v>
      </c>
      <c r="E567" t="s">
        <v>658</v>
      </c>
      <c r="F567" t="s">
        <v>693</v>
      </c>
      <c r="G567" t="s">
        <v>704</v>
      </c>
      <c r="H567" t="s">
        <v>707</v>
      </c>
      <c r="I567" t="s">
        <v>717</v>
      </c>
      <c r="J567" t="s">
        <v>731</v>
      </c>
      <c r="K567" t="s">
        <v>1297</v>
      </c>
      <c r="L567">
        <v>525.34</v>
      </c>
      <c r="M567">
        <v>1233.79</v>
      </c>
      <c r="N567">
        <v>0.14299999999999999</v>
      </c>
      <c r="O567">
        <v>4</v>
      </c>
    </row>
    <row r="568" spans="1:15" x14ac:dyDescent="0.25">
      <c r="A568" t="s">
        <v>580</v>
      </c>
      <c r="B568" s="2">
        <v>45330</v>
      </c>
      <c r="C568" s="2">
        <v>45331</v>
      </c>
      <c r="D568" t="s">
        <v>646</v>
      </c>
      <c r="E568" t="s">
        <v>650</v>
      </c>
      <c r="F568" t="s">
        <v>675</v>
      </c>
      <c r="G568" t="s">
        <v>701</v>
      </c>
      <c r="H568" t="s">
        <v>711</v>
      </c>
      <c r="I568" t="s">
        <v>721</v>
      </c>
      <c r="J568" t="s">
        <v>727</v>
      </c>
      <c r="K568" t="s">
        <v>1298</v>
      </c>
      <c r="L568">
        <v>1233.52</v>
      </c>
      <c r="M568">
        <v>1543.76</v>
      </c>
      <c r="N568">
        <v>0.126</v>
      </c>
      <c r="O568">
        <v>13</v>
      </c>
    </row>
    <row r="569" spans="1:15" x14ac:dyDescent="0.25">
      <c r="A569" t="s">
        <v>581</v>
      </c>
      <c r="B569" s="2">
        <v>45834</v>
      </c>
      <c r="C569" s="2">
        <v>45849</v>
      </c>
      <c r="D569" t="s">
        <v>646</v>
      </c>
      <c r="E569" t="s">
        <v>651</v>
      </c>
      <c r="F569" t="s">
        <v>663</v>
      </c>
      <c r="G569" t="s">
        <v>705</v>
      </c>
      <c r="H569" t="s">
        <v>708</v>
      </c>
      <c r="I569" t="s">
        <v>720</v>
      </c>
      <c r="J569" t="s">
        <v>731</v>
      </c>
      <c r="K569" t="s">
        <v>1299</v>
      </c>
      <c r="L569">
        <v>1170.1500000000001</v>
      </c>
      <c r="M569">
        <v>2115.19</v>
      </c>
      <c r="N569">
        <v>9.1999999999999998E-2</v>
      </c>
      <c r="O569">
        <v>23</v>
      </c>
    </row>
    <row r="570" spans="1:15" x14ac:dyDescent="0.25">
      <c r="A570" t="s">
        <v>582</v>
      </c>
      <c r="B570" s="2">
        <v>45600</v>
      </c>
      <c r="C570" s="2">
        <v>45603</v>
      </c>
      <c r="D570" t="s">
        <v>649</v>
      </c>
      <c r="E570" t="s">
        <v>657</v>
      </c>
      <c r="F570" t="s">
        <v>679</v>
      </c>
      <c r="G570" t="s">
        <v>701</v>
      </c>
      <c r="H570" t="s">
        <v>708</v>
      </c>
      <c r="I570" t="s">
        <v>719</v>
      </c>
      <c r="J570" t="s">
        <v>732</v>
      </c>
      <c r="K570" t="s">
        <v>1300</v>
      </c>
      <c r="L570">
        <v>740.68</v>
      </c>
      <c r="M570">
        <v>1837.19</v>
      </c>
      <c r="N570">
        <v>0.19700000000000001</v>
      </c>
      <c r="O570">
        <v>17</v>
      </c>
    </row>
    <row r="571" spans="1:15" x14ac:dyDescent="0.25">
      <c r="A571" t="s">
        <v>583</v>
      </c>
      <c r="B571" s="2">
        <v>45342</v>
      </c>
      <c r="C571" s="2">
        <v>45342</v>
      </c>
      <c r="D571" t="s">
        <v>648</v>
      </c>
      <c r="E571" t="s">
        <v>660</v>
      </c>
      <c r="F571" t="s">
        <v>700</v>
      </c>
      <c r="G571" t="s">
        <v>706</v>
      </c>
      <c r="H571" t="s">
        <v>708</v>
      </c>
      <c r="I571" t="s">
        <v>712</v>
      </c>
      <c r="J571" t="s">
        <v>729</v>
      </c>
      <c r="K571" t="s">
        <v>1301</v>
      </c>
      <c r="L571">
        <v>1407.05</v>
      </c>
      <c r="M571">
        <v>2858.93</v>
      </c>
      <c r="N571">
        <v>0</v>
      </c>
      <c r="O571">
        <v>12</v>
      </c>
    </row>
    <row r="572" spans="1:15" x14ac:dyDescent="0.25">
      <c r="A572" t="s">
        <v>584</v>
      </c>
      <c r="B572" s="2">
        <v>45760</v>
      </c>
      <c r="C572" s="2">
        <v>45761</v>
      </c>
      <c r="D572" t="s">
        <v>647</v>
      </c>
      <c r="E572" t="s">
        <v>652</v>
      </c>
      <c r="F572" t="s">
        <v>666</v>
      </c>
      <c r="G572" t="s">
        <v>706</v>
      </c>
      <c r="H572" t="s">
        <v>708</v>
      </c>
      <c r="I572" t="s">
        <v>715</v>
      </c>
      <c r="J572" t="s">
        <v>727</v>
      </c>
      <c r="K572" t="s">
        <v>1302</v>
      </c>
      <c r="L572">
        <v>138.9</v>
      </c>
      <c r="M572">
        <v>289.92</v>
      </c>
      <c r="N572">
        <v>2.9000000000000001E-2</v>
      </c>
      <c r="O572">
        <v>12</v>
      </c>
    </row>
    <row r="573" spans="1:15" x14ac:dyDescent="0.25">
      <c r="A573" t="s">
        <v>585</v>
      </c>
      <c r="B573" s="2">
        <v>45078</v>
      </c>
      <c r="C573" s="2">
        <v>45078</v>
      </c>
      <c r="D573" t="s">
        <v>647</v>
      </c>
      <c r="E573" t="s">
        <v>654</v>
      </c>
      <c r="F573" t="s">
        <v>668</v>
      </c>
      <c r="G573" t="s">
        <v>701</v>
      </c>
      <c r="H573" t="s">
        <v>707</v>
      </c>
      <c r="I573" t="s">
        <v>718</v>
      </c>
      <c r="J573" t="s">
        <v>733</v>
      </c>
      <c r="K573" t="s">
        <v>1303</v>
      </c>
      <c r="L573">
        <v>669.37</v>
      </c>
      <c r="M573">
        <v>997.2</v>
      </c>
      <c r="N573">
        <v>8.2000000000000003E-2</v>
      </c>
      <c r="O573">
        <v>5</v>
      </c>
    </row>
    <row r="574" spans="1:15" x14ac:dyDescent="0.25">
      <c r="A574" t="s">
        <v>586</v>
      </c>
      <c r="B574" s="2">
        <v>45740</v>
      </c>
      <c r="C574" s="2">
        <v>45751</v>
      </c>
      <c r="D574" t="s">
        <v>647</v>
      </c>
      <c r="E574" t="s">
        <v>654</v>
      </c>
      <c r="F574" t="s">
        <v>691</v>
      </c>
      <c r="G574" t="s">
        <v>702</v>
      </c>
      <c r="H574" t="s">
        <v>709</v>
      </c>
      <c r="I574" t="s">
        <v>713</v>
      </c>
      <c r="J574" t="s">
        <v>730</v>
      </c>
      <c r="K574" t="s">
        <v>1304</v>
      </c>
      <c r="L574">
        <v>23.83</v>
      </c>
      <c r="M574">
        <v>47.29</v>
      </c>
      <c r="N574">
        <v>6.4000000000000001E-2</v>
      </c>
      <c r="O574">
        <v>19</v>
      </c>
    </row>
    <row r="575" spans="1:15" x14ac:dyDescent="0.25">
      <c r="A575" t="s">
        <v>587</v>
      </c>
      <c r="B575" s="2">
        <v>45293</v>
      </c>
      <c r="C575" s="2">
        <v>45293</v>
      </c>
      <c r="D575" t="s">
        <v>648</v>
      </c>
      <c r="E575" t="s">
        <v>653</v>
      </c>
      <c r="F575" t="s">
        <v>688</v>
      </c>
      <c r="G575" t="s">
        <v>702</v>
      </c>
      <c r="H575" t="s">
        <v>711</v>
      </c>
      <c r="I575" t="s">
        <v>720</v>
      </c>
      <c r="J575" t="s">
        <v>731</v>
      </c>
      <c r="K575" t="s">
        <v>1305</v>
      </c>
      <c r="L575">
        <v>444.41</v>
      </c>
      <c r="M575">
        <v>754.24</v>
      </c>
      <c r="N575">
        <v>0.20699999999999999</v>
      </c>
      <c r="O575">
        <v>32</v>
      </c>
    </row>
    <row r="576" spans="1:15" x14ac:dyDescent="0.25">
      <c r="A576" t="s">
        <v>588</v>
      </c>
      <c r="B576" s="2">
        <v>45279</v>
      </c>
      <c r="C576" s="2">
        <v>45292</v>
      </c>
      <c r="D576" t="s">
        <v>648</v>
      </c>
      <c r="E576" t="s">
        <v>653</v>
      </c>
      <c r="F576" t="s">
        <v>667</v>
      </c>
      <c r="G576" t="s">
        <v>706</v>
      </c>
      <c r="H576" t="s">
        <v>707</v>
      </c>
      <c r="I576" t="s">
        <v>723</v>
      </c>
      <c r="J576" t="s">
        <v>732</v>
      </c>
      <c r="K576" t="s">
        <v>1306</v>
      </c>
      <c r="L576">
        <v>856.1</v>
      </c>
      <c r="M576">
        <v>901.48</v>
      </c>
      <c r="N576">
        <v>5.6000000000000001E-2</v>
      </c>
      <c r="O576">
        <v>17</v>
      </c>
    </row>
    <row r="577" spans="1:15" x14ac:dyDescent="0.25">
      <c r="A577" t="s">
        <v>589</v>
      </c>
      <c r="B577" s="2">
        <v>45042</v>
      </c>
      <c r="C577" s="2">
        <v>45042</v>
      </c>
      <c r="D577" t="s">
        <v>649</v>
      </c>
      <c r="E577" t="s">
        <v>657</v>
      </c>
      <c r="F577" t="s">
        <v>673</v>
      </c>
      <c r="G577" t="s">
        <v>704</v>
      </c>
      <c r="H577" t="s">
        <v>711</v>
      </c>
      <c r="I577" t="s">
        <v>724</v>
      </c>
      <c r="J577" t="s">
        <v>727</v>
      </c>
      <c r="K577" t="s">
        <v>1307</v>
      </c>
      <c r="L577">
        <v>81.489999999999995</v>
      </c>
      <c r="M577">
        <v>113.08</v>
      </c>
      <c r="N577">
        <v>0.121</v>
      </c>
      <c r="O577">
        <v>5</v>
      </c>
    </row>
    <row r="578" spans="1:15" x14ac:dyDescent="0.25">
      <c r="A578" t="s">
        <v>590</v>
      </c>
      <c r="B578" s="2">
        <v>45872</v>
      </c>
      <c r="C578" s="2">
        <v>45885</v>
      </c>
      <c r="D578" t="s">
        <v>648</v>
      </c>
      <c r="E578" t="s">
        <v>653</v>
      </c>
      <c r="F578" t="s">
        <v>681</v>
      </c>
      <c r="G578" t="s">
        <v>706</v>
      </c>
      <c r="H578" t="s">
        <v>710</v>
      </c>
      <c r="I578" t="s">
        <v>719</v>
      </c>
      <c r="J578" t="s">
        <v>729</v>
      </c>
      <c r="K578" t="s">
        <v>1308</v>
      </c>
      <c r="L578">
        <v>698.66</v>
      </c>
      <c r="M578">
        <v>868.62</v>
      </c>
      <c r="N578">
        <v>7.1999999999999995E-2</v>
      </c>
      <c r="O578">
        <v>15</v>
      </c>
    </row>
    <row r="579" spans="1:15" x14ac:dyDescent="0.25">
      <c r="A579" t="s">
        <v>591</v>
      </c>
      <c r="B579" s="2">
        <v>45140</v>
      </c>
      <c r="C579" s="2">
        <v>45157</v>
      </c>
      <c r="D579" t="s">
        <v>648</v>
      </c>
      <c r="E579" t="s">
        <v>653</v>
      </c>
      <c r="F579" t="s">
        <v>688</v>
      </c>
      <c r="G579" t="s">
        <v>701</v>
      </c>
      <c r="H579" t="s">
        <v>708</v>
      </c>
      <c r="I579" t="s">
        <v>721</v>
      </c>
      <c r="J579" t="s">
        <v>729</v>
      </c>
      <c r="K579" t="s">
        <v>1309</v>
      </c>
      <c r="L579">
        <v>175.38</v>
      </c>
      <c r="M579">
        <v>347.9</v>
      </c>
      <c r="N579">
        <v>7.1999999999999995E-2</v>
      </c>
      <c r="O579">
        <v>43</v>
      </c>
    </row>
    <row r="580" spans="1:15" x14ac:dyDescent="0.25">
      <c r="A580" t="s">
        <v>592</v>
      </c>
      <c r="B580" s="2">
        <v>45092</v>
      </c>
      <c r="C580" s="2">
        <v>45119</v>
      </c>
      <c r="D580" t="s">
        <v>649</v>
      </c>
      <c r="E580" t="s">
        <v>658</v>
      </c>
      <c r="F580" t="s">
        <v>693</v>
      </c>
      <c r="G580" t="s">
        <v>704</v>
      </c>
      <c r="H580" t="s">
        <v>711</v>
      </c>
      <c r="I580" t="s">
        <v>714</v>
      </c>
      <c r="J580" t="s">
        <v>733</v>
      </c>
      <c r="K580" t="s">
        <v>1310</v>
      </c>
      <c r="L580">
        <v>751.28</v>
      </c>
      <c r="M580">
        <v>1111.8800000000001</v>
      </c>
      <c r="N580">
        <v>0.13500000000000001</v>
      </c>
      <c r="O580">
        <v>7</v>
      </c>
    </row>
    <row r="581" spans="1:15" x14ac:dyDescent="0.25">
      <c r="A581" t="s">
        <v>593</v>
      </c>
      <c r="B581" s="2">
        <v>45607</v>
      </c>
      <c r="C581" s="2">
        <v>45620</v>
      </c>
      <c r="D581" t="s">
        <v>649</v>
      </c>
      <c r="E581" t="s">
        <v>658</v>
      </c>
      <c r="F581" t="s">
        <v>683</v>
      </c>
      <c r="G581" t="s">
        <v>701</v>
      </c>
      <c r="H581" t="s">
        <v>707</v>
      </c>
      <c r="I581" t="s">
        <v>718</v>
      </c>
      <c r="J581" t="s">
        <v>729</v>
      </c>
      <c r="K581" t="s">
        <v>1311</v>
      </c>
      <c r="L581">
        <v>164.53</v>
      </c>
      <c r="M581">
        <v>327.72</v>
      </c>
      <c r="N581">
        <v>6.7000000000000004E-2</v>
      </c>
      <c r="O581">
        <v>14</v>
      </c>
    </row>
    <row r="582" spans="1:15" x14ac:dyDescent="0.25">
      <c r="A582" t="s">
        <v>594</v>
      </c>
      <c r="B582" s="2">
        <v>45849</v>
      </c>
      <c r="C582" s="2">
        <v>45872</v>
      </c>
      <c r="D582" t="s">
        <v>646</v>
      </c>
      <c r="E582" t="s">
        <v>650</v>
      </c>
      <c r="F582" t="s">
        <v>678</v>
      </c>
      <c r="G582" t="s">
        <v>705</v>
      </c>
      <c r="H582" t="s">
        <v>707</v>
      </c>
      <c r="I582" t="s">
        <v>712</v>
      </c>
      <c r="J582" t="s">
        <v>730</v>
      </c>
      <c r="K582" t="s">
        <v>1312</v>
      </c>
      <c r="L582">
        <v>389.93</v>
      </c>
      <c r="M582">
        <v>486.13</v>
      </c>
      <c r="N582">
        <v>0.13200000000000001</v>
      </c>
      <c r="O582">
        <v>17</v>
      </c>
    </row>
    <row r="583" spans="1:15" x14ac:dyDescent="0.25">
      <c r="A583" t="s">
        <v>595</v>
      </c>
      <c r="B583" s="2">
        <v>45080</v>
      </c>
      <c r="C583" s="2">
        <v>45108</v>
      </c>
      <c r="D583" t="s">
        <v>648</v>
      </c>
      <c r="E583" t="s">
        <v>655</v>
      </c>
      <c r="F583" t="s">
        <v>672</v>
      </c>
      <c r="G583" t="s">
        <v>705</v>
      </c>
      <c r="H583" t="s">
        <v>709</v>
      </c>
      <c r="I583" t="s">
        <v>720</v>
      </c>
      <c r="J583" t="s">
        <v>727</v>
      </c>
      <c r="K583" t="s">
        <v>1313</v>
      </c>
      <c r="L583">
        <v>860.4</v>
      </c>
      <c r="M583">
        <v>2066.6</v>
      </c>
      <c r="N583">
        <v>0.01</v>
      </c>
      <c r="O583">
        <v>3</v>
      </c>
    </row>
    <row r="584" spans="1:15" x14ac:dyDescent="0.25">
      <c r="A584" t="s">
        <v>596</v>
      </c>
      <c r="B584" s="2">
        <v>44955</v>
      </c>
      <c r="C584" s="2">
        <v>44963</v>
      </c>
      <c r="D584" t="s">
        <v>648</v>
      </c>
      <c r="E584" t="s">
        <v>655</v>
      </c>
      <c r="F584" t="s">
        <v>672</v>
      </c>
      <c r="G584" t="s">
        <v>701</v>
      </c>
      <c r="H584" t="s">
        <v>709</v>
      </c>
      <c r="I584" t="s">
        <v>726</v>
      </c>
      <c r="J584" t="s">
        <v>732</v>
      </c>
      <c r="K584" t="s">
        <v>1314</v>
      </c>
      <c r="L584">
        <v>41.84</v>
      </c>
      <c r="M584">
        <v>86.2</v>
      </c>
      <c r="N584">
        <v>0.22600000000000001</v>
      </c>
      <c r="O584">
        <v>27</v>
      </c>
    </row>
    <row r="585" spans="1:15" x14ac:dyDescent="0.25">
      <c r="A585" t="s">
        <v>597</v>
      </c>
      <c r="B585" s="2">
        <v>45541</v>
      </c>
      <c r="C585" s="2">
        <v>45539</v>
      </c>
      <c r="D585" t="s">
        <v>647</v>
      </c>
      <c r="E585" t="s">
        <v>652</v>
      </c>
      <c r="F585" t="s">
        <v>666</v>
      </c>
      <c r="G585" t="s">
        <v>701</v>
      </c>
      <c r="H585" t="s">
        <v>711</v>
      </c>
      <c r="I585" t="s">
        <v>720</v>
      </c>
      <c r="J585" t="s">
        <v>731</v>
      </c>
      <c r="K585" t="s">
        <v>1315</v>
      </c>
      <c r="L585">
        <v>1368.17</v>
      </c>
      <c r="M585">
        <v>2307.75</v>
      </c>
      <c r="N585">
        <v>0.16300000000000001</v>
      </c>
      <c r="O585">
        <v>21</v>
      </c>
    </row>
    <row r="586" spans="1:15" x14ac:dyDescent="0.25">
      <c r="A586" t="s">
        <v>598</v>
      </c>
      <c r="B586" s="2">
        <v>45507</v>
      </c>
      <c r="C586" s="2">
        <v>45513</v>
      </c>
      <c r="D586" t="s">
        <v>646</v>
      </c>
      <c r="E586" t="s">
        <v>650</v>
      </c>
      <c r="F586" t="s">
        <v>675</v>
      </c>
      <c r="G586" t="s">
        <v>704</v>
      </c>
      <c r="H586" t="s">
        <v>709</v>
      </c>
      <c r="I586" t="s">
        <v>722</v>
      </c>
      <c r="J586" t="s">
        <v>731</v>
      </c>
      <c r="K586" t="s">
        <v>1316</v>
      </c>
      <c r="L586">
        <v>643.21</v>
      </c>
      <c r="M586">
        <v>1112.81</v>
      </c>
      <c r="N586">
        <v>0.14099999999999999</v>
      </c>
      <c r="O586">
        <v>4</v>
      </c>
    </row>
    <row r="587" spans="1:15" x14ac:dyDescent="0.25">
      <c r="A587" t="s">
        <v>599</v>
      </c>
      <c r="B587" s="2">
        <v>45764</v>
      </c>
      <c r="C587" s="2">
        <v>45764</v>
      </c>
      <c r="D587" t="s">
        <v>648</v>
      </c>
      <c r="E587" t="s">
        <v>655</v>
      </c>
      <c r="F587" t="s">
        <v>670</v>
      </c>
      <c r="G587" t="s">
        <v>701</v>
      </c>
      <c r="H587" t="s">
        <v>710</v>
      </c>
      <c r="I587" t="s">
        <v>716</v>
      </c>
      <c r="J587" t="s">
        <v>730</v>
      </c>
      <c r="K587" t="s">
        <v>1317</v>
      </c>
      <c r="L587">
        <v>719.41</v>
      </c>
      <c r="M587">
        <v>1125.99</v>
      </c>
      <c r="N587">
        <v>4.1000000000000002E-2</v>
      </c>
      <c r="O587">
        <v>21</v>
      </c>
    </row>
    <row r="588" spans="1:15" x14ac:dyDescent="0.25">
      <c r="A588" t="s">
        <v>600</v>
      </c>
      <c r="B588" s="2">
        <v>45049</v>
      </c>
      <c r="C588" s="2">
        <v>45062</v>
      </c>
      <c r="D588" t="s">
        <v>648</v>
      </c>
      <c r="E588" t="s">
        <v>660</v>
      </c>
      <c r="F588" t="s">
        <v>700</v>
      </c>
      <c r="G588" t="s">
        <v>701</v>
      </c>
      <c r="H588" t="s">
        <v>709</v>
      </c>
      <c r="I588" t="s">
        <v>716</v>
      </c>
      <c r="J588" t="s">
        <v>730</v>
      </c>
      <c r="K588" t="s">
        <v>1318</v>
      </c>
      <c r="L588">
        <v>64.5</v>
      </c>
      <c r="M588">
        <v>123.62</v>
      </c>
      <c r="N588">
        <v>0</v>
      </c>
      <c r="O588">
        <v>3</v>
      </c>
    </row>
    <row r="589" spans="1:15" x14ac:dyDescent="0.25">
      <c r="A589" t="s">
        <v>601</v>
      </c>
      <c r="B589" s="2">
        <v>45364</v>
      </c>
      <c r="C589" s="2">
        <v>45388</v>
      </c>
      <c r="D589" t="s">
        <v>646</v>
      </c>
      <c r="E589" t="s">
        <v>651</v>
      </c>
      <c r="F589" t="s">
        <v>669</v>
      </c>
      <c r="G589" t="s">
        <v>704</v>
      </c>
      <c r="H589" t="s">
        <v>710</v>
      </c>
      <c r="I589" t="s">
        <v>716</v>
      </c>
      <c r="J589" t="s">
        <v>727</v>
      </c>
      <c r="K589" t="s">
        <v>1319</v>
      </c>
      <c r="L589">
        <v>1232.78</v>
      </c>
      <c r="M589">
        <v>1731.75</v>
      </c>
      <c r="N589">
        <v>9.2999999999999999E-2</v>
      </c>
      <c r="O589">
        <v>16</v>
      </c>
    </row>
    <row r="590" spans="1:15" x14ac:dyDescent="0.25">
      <c r="A590" t="s">
        <v>602</v>
      </c>
      <c r="B590" s="2">
        <v>45459</v>
      </c>
      <c r="C590" s="2">
        <v>45464</v>
      </c>
      <c r="D590" t="s">
        <v>647</v>
      </c>
      <c r="E590" t="s">
        <v>652</v>
      </c>
      <c r="F590" t="s">
        <v>689</v>
      </c>
      <c r="G590" t="s">
        <v>705</v>
      </c>
      <c r="H590" t="s">
        <v>710</v>
      </c>
      <c r="I590" t="s">
        <v>721</v>
      </c>
      <c r="J590" t="s">
        <v>730</v>
      </c>
      <c r="K590" t="s">
        <v>1320</v>
      </c>
      <c r="L590">
        <v>1367.13</v>
      </c>
      <c r="M590">
        <v>3062.01</v>
      </c>
      <c r="N590">
        <v>0.10299999999999999</v>
      </c>
      <c r="O590">
        <v>25</v>
      </c>
    </row>
    <row r="591" spans="1:15" x14ac:dyDescent="0.25">
      <c r="A591" t="s">
        <v>603</v>
      </c>
      <c r="B591" s="2">
        <v>45703</v>
      </c>
      <c r="C591" s="2">
        <v>45715</v>
      </c>
      <c r="D591" t="s">
        <v>649</v>
      </c>
      <c r="E591" t="s">
        <v>657</v>
      </c>
      <c r="F591" t="s">
        <v>679</v>
      </c>
      <c r="G591" t="s">
        <v>703</v>
      </c>
      <c r="H591" t="s">
        <v>711</v>
      </c>
      <c r="I591" t="s">
        <v>723</v>
      </c>
      <c r="J591" t="s">
        <v>733</v>
      </c>
      <c r="K591" t="s">
        <v>1321</v>
      </c>
      <c r="L591">
        <v>1027.26</v>
      </c>
      <c r="M591">
        <v>2200.41</v>
      </c>
      <c r="N591">
        <v>8.7999999999999995E-2</v>
      </c>
      <c r="O591">
        <v>6</v>
      </c>
    </row>
    <row r="592" spans="1:15" x14ac:dyDescent="0.25">
      <c r="A592" t="s">
        <v>604</v>
      </c>
      <c r="B592" s="2">
        <v>45019</v>
      </c>
      <c r="C592" s="2">
        <v>45032</v>
      </c>
      <c r="D592" t="s">
        <v>649</v>
      </c>
      <c r="E592" t="s">
        <v>657</v>
      </c>
      <c r="F592" t="s">
        <v>673</v>
      </c>
      <c r="G592" t="s">
        <v>703</v>
      </c>
      <c r="H592" t="s">
        <v>709</v>
      </c>
      <c r="I592" t="s">
        <v>724</v>
      </c>
      <c r="J592" t="s">
        <v>733</v>
      </c>
      <c r="K592" t="s">
        <v>1322</v>
      </c>
      <c r="L592">
        <v>790.54</v>
      </c>
      <c r="M592">
        <v>601.49</v>
      </c>
      <c r="N592">
        <v>0</v>
      </c>
      <c r="O592">
        <v>15</v>
      </c>
    </row>
    <row r="593" spans="1:15" x14ac:dyDescent="0.25">
      <c r="A593" t="s">
        <v>605</v>
      </c>
      <c r="B593" s="2">
        <v>45899</v>
      </c>
      <c r="C593" s="2">
        <v>45922</v>
      </c>
      <c r="D593" t="s">
        <v>649</v>
      </c>
      <c r="E593" t="s">
        <v>657</v>
      </c>
      <c r="F593" t="s">
        <v>673</v>
      </c>
      <c r="G593" t="s">
        <v>701</v>
      </c>
      <c r="H593" t="s">
        <v>711</v>
      </c>
      <c r="I593" t="s">
        <v>718</v>
      </c>
      <c r="J593" t="s">
        <v>727</v>
      </c>
      <c r="K593" t="s">
        <v>1323</v>
      </c>
      <c r="L593">
        <v>663.9</v>
      </c>
      <c r="M593">
        <v>947.77</v>
      </c>
      <c r="N593">
        <v>0.17399999999999999</v>
      </c>
      <c r="O593">
        <v>15</v>
      </c>
    </row>
    <row r="594" spans="1:15" x14ac:dyDescent="0.25">
      <c r="A594" t="s">
        <v>606</v>
      </c>
      <c r="B594" s="2">
        <v>44984</v>
      </c>
      <c r="C594" s="2">
        <v>44983</v>
      </c>
      <c r="D594" t="s">
        <v>648</v>
      </c>
      <c r="E594" t="s">
        <v>660</v>
      </c>
      <c r="F594" t="s">
        <v>686</v>
      </c>
      <c r="G594" t="s">
        <v>703</v>
      </c>
      <c r="H594" t="s">
        <v>708</v>
      </c>
      <c r="I594" t="s">
        <v>716</v>
      </c>
      <c r="J594" t="s">
        <v>729</v>
      </c>
      <c r="K594" t="s">
        <v>1324</v>
      </c>
      <c r="L594">
        <v>1015.91</v>
      </c>
      <c r="M594">
        <v>2331.48</v>
      </c>
      <c r="N594">
        <v>0.14599999999999999</v>
      </c>
      <c r="O594">
        <v>26</v>
      </c>
    </row>
    <row r="595" spans="1:15" x14ac:dyDescent="0.25">
      <c r="A595" t="s">
        <v>607</v>
      </c>
      <c r="B595" s="2">
        <v>45504</v>
      </c>
      <c r="C595" s="2">
        <v>45519</v>
      </c>
      <c r="D595" t="s">
        <v>647</v>
      </c>
      <c r="E595" t="s">
        <v>652</v>
      </c>
      <c r="F595" t="s">
        <v>689</v>
      </c>
      <c r="G595" t="s">
        <v>701</v>
      </c>
      <c r="H595" t="s">
        <v>709</v>
      </c>
      <c r="I595" t="s">
        <v>721</v>
      </c>
      <c r="J595" t="s">
        <v>732</v>
      </c>
      <c r="K595" t="s">
        <v>1325</v>
      </c>
      <c r="L595">
        <v>1252.52</v>
      </c>
      <c r="M595">
        <v>1417.24</v>
      </c>
      <c r="N595">
        <v>0.192</v>
      </c>
      <c r="O595">
        <v>5</v>
      </c>
    </row>
    <row r="596" spans="1:15" x14ac:dyDescent="0.25">
      <c r="A596" t="s">
        <v>608</v>
      </c>
      <c r="B596" s="2">
        <v>45823</v>
      </c>
      <c r="C596" s="2">
        <v>45850</v>
      </c>
      <c r="D596" t="s">
        <v>649</v>
      </c>
      <c r="E596" t="s">
        <v>657</v>
      </c>
      <c r="F596" t="s">
        <v>673</v>
      </c>
      <c r="G596" t="s">
        <v>704</v>
      </c>
      <c r="H596" t="s">
        <v>711</v>
      </c>
      <c r="I596" t="s">
        <v>712</v>
      </c>
      <c r="J596" t="s">
        <v>733</v>
      </c>
      <c r="K596" t="s">
        <v>1326</v>
      </c>
      <c r="L596">
        <v>318.83</v>
      </c>
      <c r="M596">
        <v>699.5</v>
      </c>
      <c r="N596">
        <v>0.08</v>
      </c>
      <c r="O596">
        <v>13</v>
      </c>
    </row>
    <row r="597" spans="1:15" x14ac:dyDescent="0.25">
      <c r="A597" t="s">
        <v>609</v>
      </c>
      <c r="B597" s="2">
        <v>45473</v>
      </c>
      <c r="C597" s="2">
        <v>45494</v>
      </c>
      <c r="D597" t="s">
        <v>646</v>
      </c>
      <c r="E597" t="s">
        <v>650</v>
      </c>
      <c r="F597" t="s">
        <v>662</v>
      </c>
      <c r="G597" t="s">
        <v>705</v>
      </c>
      <c r="H597" t="s">
        <v>707</v>
      </c>
      <c r="I597" t="s">
        <v>723</v>
      </c>
      <c r="J597" t="s">
        <v>731</v>
      </c>
      <c r="K597" t="s">
        <v>1327</v>
      </c>
      <c r="L597">
        <v>753.43</v>
      </c>
      <c r="M597">
        <v>1787.2</v>
      </c>
      <c r="N597">
        <v>7.2999999999999995E-2</v>
      </c>
      <c r="O597">
        <v>9</v>
      </c>
    </row>
    <row r="598" spans="1:15" x14ac:dyDescent="0.25">
      <c r="A598" t="s">
        <v>610</v>
      </c>
      <c r="B598" s="2">
        <v>45705</v>
      </c>
      <c r="C598" s="2">
        <v>45703</v>
      </c>
      <c r="D598" t="s">
        <v>648</v>
      </c>
      <c r="E598" t="s">
        <v>653</v>
      </c>
      <c r="F598" t="s">
        <v>667</v>
      </c>
      <c r="G598" t="s">
        <v>705</v>
      </c>
      <c r="H598" t="s">
        <v>707</v>
      </c>
      <c r="I598" t="s">
        <v>726</v>
      </c>
      <c r="J598" t="s">
        <v>727</v>
      </c>
      <c r="K598" t="s">
        <v>1328</v>
      </c>
      <c r="L598">
        <v>1133.47</v>
      </c>
      <c r="M598">
        <v>1698.75</v>
      </c>
      <c r="N598">
        <v>4.2999999999999997E-2</v>
      </c>
      <c r="O598">
        <v>5</v>
      </c>
    </row>
    <row r="599" spans="1:15" x14ac:dyDescent="0.25">
      <c r="A599" t="s">
        <v>611</v>
      </c>
      <c r="B599" s="2">
        <v>44933</v>
      </c>
      <c r="C599" s="2">
        <v>44956</v>
      </c>
      <c r="D599" t="s">
        <v>646</v>
      </c>
      <c r="E599" t="s">
        <v>661</v>
      </c>
      <c r="F599" t="s">
        <v>695</v>
      </c>
      <c r="G599" t="s">
        <v>704</v>
      </c>
      <c r="H599" t="s">
        <v>708</v>
      </c>
      <c r="I599" t="s">
        <v>720</v>
      </c>
      <c r="J599" t="s">
        <v>728</v>
      </c>
      <c r="K599" t="s">
        <v>1329</v>
      </c>
      <c r="L599">
        <v>299.02</v>
      </c>
      <c r="M599">
        <v>724.7</v>
      </c>
      <c r="N599">
        <v>0.14000000000000001</v>
      </c>
      <c r="O599">
        <v>5</v>
      </c>
    </row>
    <row r="600" spans="1:15" x14ac:dyDescent="0.25">
      <c r="A600" t="s">
        <v>612</v>
      </c>
      <c r="B600" s="2">
        <v>45726</v>
      </c>
      <c r="C600" s="2">
        <v>45751</v>
      </c>
      <c r="D600" t="s">
        <v>647</v>
      </c>
      <c r="E600" t="s">
        <v>652</v>
      </c>
      <c r="F600" t="s">
        <v>666</v>
      </c>
      <c r="G600" t="s">
        <v>701</v>
      </c>
      <c r="H600" t="s">
        <v>711</v>
      </c>
      <c r="I600" t="s">
        <v>722</v>
      </c>
      <c r="J600" t="s">
        <v>728</v>
      </c>
      <c r="K600" t="s">
        <v>1330</v>
      </c>
      <c r="L600">
        <v>783.72</v>
      </c>
      <c r="M600">
        <v>1355.94</v>
      </c>
      <c r="N600">
        <v>0.187</v>
      </c>
      <c r="O600">
        <v>4</v>
      </c>
    </row>
    <row r="601" spans="1:15" x14ac:dyDescent="0.25">
      <c r="A601" t="s">
        <v>613</v>
      </c>
      <c r="B601" s="2">
        <v>45521</v>
      </c>
      <c r="C601" s="2">
        <v>45519</v>
      </c>
      <c r="D601" t="s">
        <v>648</v>
      </c>
      <c r="E601" t="s">
        <v>655</v>
      </c>
      <c r="F601" t="s">
        <v>692</v>
      </c>
      <c r="G601" t="s">
        <v>704</v>
      </c>
      <c r="H601" t="s">
        <v>711</v>
      </c>
      <c r="I601" t="s">
        <v>724</v>
      </c>
      <c r="J601" t="s">
        <v>732</v>
      </c>
      <c r="K601" t="s">
        <v>1331</v>
      </c>
      <c r="L601">
        <v>165.3</v>
      </c>
      <c r="M601">
        <v>275.07</v>
      </c>
      <c r="N601">
        <v>0.13300000000000001</v>
      </c>
      <c r="O601">
        <v>25</v>
      </c>
    </row>
    <row r="602" spans="1:15" x14ac:dyDescent="0.25">
      <c r="A602" t="s">
        <v>614</v>
      </c>
      <c r="B602" s="2">
        <v>45360</v>
      </c>
      <c r="C602" s="2">
        <v>45373</v>
      </c>
      <c r="D602" t="s">
        <v>649</v>
      </c>
      <c r="E602" t="s">
        <v>658</v>
      </c>
      <c r="F602" t="s">
        <v>693</v>
      </c>
      <c r="G602" t="s">
        <v>704</v>
      </c>
      <c r="H602" t="s">
        <v>708</v>
      </c>
      <c r="I602" t="s">
        <v>718</v>
      </c>
      <c r="J602" t="s">
        <v>731</v>
      </c>
      <c r="K602" t="s">
        <v>1332</v>
      </c>
      <c r="L602">
        <v>985.45</v>
      </c>
      <c r="M602">
        <v>1802.44</v>
      </c>
      <c r="N602">
        <v>8.9999999999999993E-3</v>
      </c>
      <c r="O602">
        <v>19</v>
      </c>
    </row>
    <row r="603" spans="1:15" x14ac:dyDescent="0.25">
      <c r="A603" t="s">
        <v>615</v>
      </c>
      <c r="B603" s="2">
        <v>45523</v>
      </c>
      <c r="C603" s="2">
        <v>45537</v>
      </c>
      <c r="D603" t="s">
        <v>648</v>
      </c>
      <c r="E603" t="s">
        <v>653</v>
      </c>
      <c r="F603" t="s">
        <v>667</v>
      </c>
      <c r="G603" t="s">
        <v>704</v>
      </c>
      <c r="H603" t="s">
        <v>710</v>
      </c>
      <c r="I603" t="s">
        <v>712</v>
      </c>
      <c r="J603" t="s">
        <v>728</v>
      </c>
      <c r="K603" t="s">
        <v>1333</v>
      </c>
      <c r="L603">
        <v>1337.01</v>
      </c>
      <c r="M603">
        <v>1269.78</v>
      </c>
      <c r="N603">
        <v>0.16</v>
      </c>
      <c r="O603">
        <v>7</v>
      </c>
    </row>
    <row r="604" spans="1:15" x14ac:dyDescent="0.25">
      <c r="A604" t="s">
        <v>616</v>
      </c>
      <c r="B604" s="2">
        <v>45880</v>
      </c>
      <c r="C604" s="2">
        <v>45897</v>
      </c>
      <c r="D604" t="s">
        <v>649</v>
      </c>
      <c r="E604" t="s">
        <v>657</v>
      </c>
      <c r="F604" t="s">
        <v>690</v>
      </c>
      <c r="G604" t="s">
        <v>702</v>
      </c>
      <c r="H604" t="s">
        <v>708</v>
      </c>
      <c r="I604" t="s">
        <v>721</v>
      </c>
      <c r="J604" t="s">
        <v>729</v>
      </c>
      <c r="K604" t="s">
        <v>1334</v>
      </c>
      <c r="L604">
        <v>416.16</v>
      </c>
      <c r="M604">
        <v>571.9</v>
      </c>
      <c r="N604">
        <v>7.0999999999999994E-2</v>
      </c>
      <c r="O604">
        <v>2</v>
      </c>
    </row>
    <row r="605" spans="1:15" x14ac:dyDescent="0.25">
      <c r="A605" t="s">
        <v>617</v>
      </c>
      <c r="B605" s="2">
        <v>45793</v>
      </c>
      <c r="C605" s="2">
        <v>45795</v>
      </c>
      <c r="D605" t="s">
        <v>647</v>
      </c>
      <c r="E605" t="s">
        <v>652</v>
      </c>
      <c r="F605" t="s">
        <v>689</v>
      </c>
      <c r="G605" t="s">
        <v>706</v>
      </c>
      <c r="H605" t="s">
        <v>707</v>
      </c>
      <c r="I605" t="s">
        <v>713</v>
      </c>
      <c r="J605" t="s">
        <v>728</v>
      </c>
      <c r="K605" t="s">
        <v>1335</v>
      </c>
      <c r="L605">
        <v>1144.3800000000001</v>
      </c>
      <c r="M605">
        <v>2755.04</v>
      </c>
      <c r="N605">
        <v>0.15</v>
      </c>
      <c r="O605">
        <v>17</v>
      </c>
    </row>
    <row r="606" spans="1:15" x14ac:dyDescent="0.25">
      <c r="A606" t="s">
        <v>618</v>
      </c>
      <c r="B606" s="2">
        <v>45026</v>
      </c>
      <c r="C606" s="2">
        <v>45041</v>
      </c>
      <c r="D606" t="s">
        <v>649</v>
      </c>
      <c r="E606" t="s">
        <v>658</v>
      </c>
      <c r="F606" t="s">
        <v>683</v>
      </c>
      <c r="G606" t="s">
        <v>705</v>
      </c>
      <c r="H606" t="s">
        <v>707</v>
      </c>
      <c r="I606" t="s">
        <v>726</v>
      </c>
      <c r="J606" t="s">
        <v>728</v>
      </c>
      <c r="K606" t="s">
        <v>1336</v>
      </c>
      <c r="L606">
        <v>405.66</v>
      </c>
      <c r="M606">
        <v>962.51</v>
      </c>
      <c r="N606">
        <v>0.19</v>
      </c>
      <c r="O606">
        <v>7</v>
      </c>
    </row>
    <row r="607" spans="1:15" x14ac:dyDescent="0.25">
      <c r="A607" t="s">
        <v>619</v>
      </c>
      <c r="B607" s="2">
        <v>45186</v>
      </c>
      <c r="C607" s="2">
        <v>45201</v>
      </c>
      <c r="D607" t="s">
        <v>648</v>
      </c>
      <c r="E607" t="s">
        <v>655</v>
      </c>
      <c r="F607" t="s">
        <v>692</v>
      </c>
      <c r="G607" t="s">
        <v>705</v>
      </c>
      <c r="H607" t="s">
        <v>707</v>
      </c>
      <c r="I607" t="s">
        <v>717</v>
      </c>
      <c r="J607" t="s">
        <v>731</v>
      </c>
      <c r="K607" t="s">
        <v>1337</v>
      </c>
      <c r="L607">
        <v>689.33</v>
      </c>
      <c r="M607">
        <v>668.27</v>
      </c>
      <c r="N607">
        <v>0.186</v>
      </c>
      <c r="O607">
        <v>13</v>
      </c>
    </row>
    <row r="608" spans="1:15" x14ac:dyDescent="0.25">
      <c r="A608" t="s">
        <v>620</v>
      </c>
      <c r="B608" s="2">
        <v>45038</v>
      </c>
      <c r="C608" s="2">
        <v>45060</v>
      </c>
      <c r="D608" t="s">
        <v>647</v>
      </c>
      <c r="E608" t="s">
        <v>652</v>
      </c>
      <c r="F608" t="s">
        <v>694</v>
      </c>
      <c r="G608" t="s">
        <v>706</v>
      </c>
      <c r="H608" t="s">
        <v>707</v>
      </c>
      <c r="I608" t="s">
        <v>720</v>
      </c>
      <c r="J608" t="s">
        <v>733</v>
      </c>
      <c r="K608" t="s">
        <v>1338</v>
      </c>
      <c r="L608">
        <v>1209.22</v>
      </c>
      <c r="M608">
        <v>1404.33</v>
      </c>
      <c r="N608">
        <v>0.10299999999999999</v>
      </c>
      <c r="O608">
        <v>11</v>
      </c>
    </row>
    <row r="609" spans="1:15" x14ac:dyDescent="0.25">
      <c r="A609" t="s">
        <v>621</v>
      </c>
      <c r="B609" s="2">
        <v>45827</v>
      </c>
      <c r="C609" s="2">
        <v>45829</v>
      </c>
      <c r="D609" t="s">
        <v>646</v>
      </c>
      <c r="E609" t="s">
        <v>661</v>
      </c>
      <c r="F609" t="s">
        <v>682</v>
      </c>
      <c r="G609" t="s">
        <v>705</v>
      </c>
      <c r="I609" t="s">
        <v>722</v>
      </c>
      <c r="J609" t="s">
        <v>730</v>
      </c>
      <c r="K609" t="s">
        <v>1339</v>
      </c>
      <c r="L609">
        <v>1466.27</v>
      </c>
      <c r="M609">
        <v>3589.89</v>
      </c>
      <c r="N609">
        <v>9.7000000000000003E-2</v>
      </c>
      <c r="O609">
        <v>9</v>
      </c>
    </row>
    <row r="610" spans="1:15" x14ac:dyDescent="0.25">
      <c r="A610" t="s">
        <v>622</v>
      </c>
      <c r="B610" s="2">
        <v>45623</v>
      </c>
      <c r="C610" s="2">
        <v>45650</v>
      </c>
      <c r="D610" t="s">
        <v>646</v>
      </c>
      <c r="E610" t="s">
        <v>650</v>
      </c>
      <c r="F610" t="s">
        <v>675</v>
      </c>
      <c r="G610" t="s">
        <v>701</v>
      </c>
      <c r="H610" t="s">
        <v>710</v>
      </c>
      <c r="I610" t="s">
        <v>717</v>
      </c>
      <c r="J610" t="s">
        <v>728</v>
      </c>
      <c r="K610" t="s">
        <v>1340</v>
      </c>
      <c r="L610">
        <v>143.33000000000001</v>
      </c>
      <c r="M610">
        <v>233.51</v>
      </c>
      <c r="N610">
        <v>0.16300000000000001</v>
      </c>
      <c r="O610">
        <v>14</v>
      </c>
    </row>
    <row r="611" spans="1:15" x14ac:dyDescent="0.25">
      <c r="A611" t="s">
        <v>623</v>
      </c>
      <c r="B611" s="2">
        <v>45319</v>
      </c>
      <c r="C611" s="2">
        <v>45318</v>
      </c>
      <c r="D611" t="s">
        <v>646</v>
      </c>
      <c r="E611" t="s">
        <v>661</v>
      </c>
      <c r="F611" t="s">
        <v>695</v>
      </c>
      <c r="G611" t="s">
        <v>706</v>
      </c>
      <c r="H611" t="s">
        <v>711</v>
      </c>
      <c r="I611" t="s">
        <v>719</v>
      </c>
      <c r="J611" t="s">
        <v>727</v>
      </c>
      <c r="K611" t="s">
        <v>1341</v>
      </c>
      <c r="L611">
        <v>109.75</v>
      </c>
      <c r="M611">
        <v>124.25</v>
      </c>
      <c r="N611">
        <v>0.12</v>
      </c>
      <c r="O611">
        <v>19</v>
      </c>
    </row>
    <row r="612" spans="1:15" x14ac:dyDescent="0.25">
      <c r="A612" t="s">
        <v>624</v>
      </c>
      <c r="B612" s="2">
        <v>45032</v>
      </c>
      <c r="C612" s="2">
        <v>45039</v>
      </c>
      <c r="D612" t="s">
        <v>648</v>
      </c>
      <c r="E612" t="s">
        <v>660</v>
      </c>
      <c r="F612" t="s">
        <v>697</v>
      </c>
      <c r="G612" t="s">
        <v>701</v>
      </c>
      <c r="H612" t="s">
        <v>710</v>
      </c>
      <c r="I612" t="s">
        <v>719</v>
      </c>
      <c r="J612" t="s">
        <v>728</v>
      </c>
      <c r="K612" t="s">
        <v>1342</v>
      </c>
      <c r="L612">
        <v>1099.1500000000001</v>
      </c>
      <c r="M612">
        <v>1431.37</v>
      </c>
      <c r="N612">
        <v>0.104</v>
      </c>
      <c r="O612">
        <v>8</v>
      </c>
    </row>
    <row r="613" spans="1:15" x14ac:dyDescent="0.25">
      <c r="A613" t="s">
        <v>625</v>
      </c>
      <c r="B613" s="2">
        <v>45323</v>
      </c>
      <c r="C613" s="2">
        <v>45323</v>
      </c>
      <c r="D613" t="s">
        <v>648</v>
      </c>
      <c r="E613" t="s">
        <v>660</v>
      </c>
      <c r="F613" t="s">
        <v>697</v>
      </c>
      <c r="G613" t="s">
        <v>704</v>
      </c>
      <c r="H613" t="s">
        <v>710</v>
      </c>
      <c r="I613" t="s">
        <v>722</v>
      </c>
      <c r="J613" t="s">
        <v>728</v>
      </c>
      <c r="K613" t="s">
        <v>1343</v>
      </c>
      <c r="L613">
        <v>714.43</v>
      </c>
      <c r="M613">
        <v>1595.52</v>
      </c>
      <c r="N613">
        <v>0.19400000000000001</v>
      </c>
      <c r="O613">
        <v>14</v>
      </c>
    </row>
    <row r="614" spans="1:15" x14ac:dyDescent="0.25">
      <c r="A614" t="s">
        <v>626</v>
      </c>
      <c r="B614" s="2">
        <v>45584</v>
      </c>
      <c r="C614" s="2">
        <v>45602</v>
      </c>
      <c r="D614" t="s">
        <v>648</v>
      </c>
      <c r="E614" t="s">
        <v>660</v>
      </c>
      <c r="F614" t="s">
        <v>677</v>
      </c>
      <c r="G614" t="s">
        <v>702</v>
      </c>
      <c r="I614" t="s">
        <v>712</v>
      </c>
      <c r="J614" t="s">
        <v>732</v>
      </c>
      <c r="K614" t="s">
        <v>1344</v>
      </c>
      <c r="L614">
        <v>942.02</v>
      </c>
      <c r="M614">
        <v>1028.46</v>
      </c>
      <c r="N614">
        <v>0</v>
      </c>
      <c r="O614">
        <v>9</v>
      </c>
    </row>
    <row r="615" spans="1:15" x14ac:dyDescent="0.25">
      <c r="A615" t="s">
        <v>627</v>
      </c>
      <c r="B615" s="2">
        <v>45468</v>
      </c>
      <c r="C615" s="2">
        <v>45473</v>
      </c>
      <c r="D615" t="s">
        <v>646</v>
      </c>
      <c r="E615" t="s">
        <v>650</v>
      </c>
      <c r="F615" t="s">
        <v>662</v>
      </c>
      <c r="G615" t="s">
        <v>702</v>
      </c>
      <c r="H615" t="s">
        <v>711</v>
      </c>
      <c r="I615" t="s">
        <v>724</v>
      </c>
      <c r="J615" t="s">
        <v>729</v>
      </c>
      <c r="K615" t="s">
        <v>1345</v>
      </c>
      <c r="L615">
        <v>1323.55</v>
      </c>
      <c r="M615">
        <v>3230.35</v>
      </c>
      <c r="N615">
        <v>2.1999999999999999E-2</v>
      </c>
      <c r="O615">
        <v>26</v>
      </c>
    </row>
    <row r="616" spans="1:15" x14ac:dyDescent="0.25">
      <c r="A616" t="s">
        <v>628</v>
      </c>
      <c r="B616" s="2">
        <v>45137</v>
      </c>
      <c r="C616" s="2">
        <v>45157</v>
      </c>
      <c r="D616" t="s">
        <v>649</v>
      </c>
      <c r="E616" t="s">
        <v>657</v>
      </c>
      <c r="F616" t="s">
        <v>690</v>
      </c>
      <c r="G616" t="s">
        <v>706</v>
      </c>
      <c r="H616" t="s">
        <v>709</v>
      </c>
      <c r="I616" t="s">
        <v>715</v>
      </c>
      <c r="J616" t="s">
        <v>729</v>
      </c>
      <c r="K616" t="s">
        <v>1346</v>
      </c>
      <c r="L616">
        <v>1418.51</v>
      </c>
      <c r="M616">
        <v>2789.61</v>
      </c>
      <c r="N616">
        <v>0.17100000000000001</v>
      </c>
      <c r="O616">
        <v>8</v>
      </c>
    </row>
    <row r="617" spans="1:15" x14ac:dyDescent="0.25">
      <c r="A617" t="s">
        <v>629</v>
      </c>
      <c r="B617" s="2">
        <v>45727</v>
      </c>
      <c r="C617" s="2">
        <v>45743</v>
      </c>
      <c r="D617" t="s">
        <v>647</v>
      </c>
      <c r="E617" t="s">
        <v>652</v>
      </c>
      <c r="F617" t="s">
        <v>689</v>
      </c>
      <c r="G617" t="s">
        <v>706</v>
      </c>
      <c r="H617" t="s">
        <v>710</v>
      </c>
      <c r="I617" t="s">
        <v>717</v>
      </c>
      <c r="J617" t="s">
        <v>728</v>
      </c>
      <c r="K617" t="s">
        <v>1347</v>
      </c>
      <c r="L617">
        <v>1317.58</v>
      </c>
      <c r="M617">
        <v>1897.74</v>
      </c>
      <c r="N617">
        <v>8.1000000000000003E-2</v>
      </c>
      <c r="O617">
        <v>6</v>
      </c>
    </row>
    <row r="618" spans="1:15" x14ac:dyDescent="0.25">
      <c r="A618" t="s">
        <v>630</v>
      </c>
      <c r="B618" s="2">
        <v>45208</v>
      </c>
      <c r="C618" s="2">
        <v>45210</v>
      </c>
      <c r="D618" t="s">
        <v>646</v>
      </c>
      <c r="E618" t="s">
        <v>651</v>
      </c>
      <c r="F618" t="s">
        <v>663</v>
      </c>
      <c r="G618" t="s">
        <v>702</v>
      </c>
      <c r="H618" t="s">
        <v>709</v>
      </c>
      <c r="I618" t="s">
        <v>723</v>
      </c>
      <c r="J618" t="s">
        <v>729</v>
      </c>
      <c r="K618" t="s">
        <v>1348</v>
      </c>
      <c r="L618">
        <v>391.16</v>
      </c>
      <c r="M618">
        <v>902.47</v>
      </c>
      <c r="N618">
        <v>4.0000000000000001E-3</v>
      </c>
      <c r="O618">
        <v>12</v>
      </c>
    </row>
    <row r="619" spans="1:15" x14ac:dyDescent="0.25">
      <c r="A619" t="s">
        <v>631</v>
      </c>
      <c r="B619" s="2">
        <v>45643</v>
      </c>
      <c r="C619" s="2">
        <v>45673</v>
      </c>
      <c r="D619" t="s">
        <v>649</v>
      </c>
      <c r="E619" t="s">
        <v>658</v>
      </c>
      <c r="F619" t="s">
        <v>693</v>
      </c>
      <c r="G619" t="s">
        <v>701</v>
      </c>
      <c r="H619" t="s">
        <v>707</v>
      </c>
      <c r="I619" t="s">
        <v>726</v>
      </c>
      <c r="J619" t="s">
        <v>732</v>
      </c>
      <c r="K619" t="s">
        <v>1349</v>
      </c>
      <c r="L619">
        <v>722.87</v>
      </c>
      <c r="M619">
        <v>-33.659999999999997</v>
      </c>
      <c r="N619">
        <v>0.10199999999999999</v>
      </c>
      <c r="O619">
        <v>28</v>
      </c>
    </row>
    <row r="620" spans="1:15" x14ac:dyDescent="0.25">
      <c r="A620" t="s">
        <v>632</v>
      </c>
      <c r="B620" s="2">
        <v>45849</v>
      </c>
      <c r="C620" s="2">
        <v>45854</v>
      </c>
      <c r="D620" t="s">
        <v>649</v>
      </c>
      <c r="E620" t="s">
        <v>658</v>
      </c>
      <c r="F620" t="s">
        <v>683</v>
      </c>
      <c r="G620" t="s">
        <v>706</v>
      </c>
      <c r="H620" t="s">
        <v>708</v>
      </c>
      <c r="I620" t="s">
        <v>723</v>
      </c>
      <c r="J620" t="s">
        <v>728</v>
      </c>
      <c r="K620" t="s">
        <v>1350</v>
      </c>
      <c r="L620">
        <v>930.03</v>
      </c>
      <c r="M620">
        <v>1086.68</v>
      </c>
      <c r="N620">
        <v>0.109</v>
      </c>
      <c r="O620">
        <v>26</v>
      </c>
    </row>
    <row r="621" spans="1:15" x14ac:dyDescent="0.25">
      <c r="A621" t="s">
        <v>633</v>
      </c>
      <c r="B621" s="2">
        <v>45578</v>
      </c>
      <c r="C621" s="2">
        <v>45589</v>
      </c>
      <c r="D621" t="s">
        <v>649</v>
      </c>
      <c r="E621" t="s">
        <v>657</v>
      </c>
      <c r="F621" t="s">
        <v>690</v>
      </c>
      <c r="G621" t="s">
        <v>702</v>
      </c>
      <c r="H621" t="s">
        <v>710</v>
      </c>
      <c r="I621" t="s">
        <v>721</v>
      </c>
      <c r="J621" t="s">
        <v>727</v>
      </c>
      <c r="K621" t="s">
        <v>1351</v>
      </c>
      <c r="L621">
        <v>816.7</v>
      </c>
      <c r="M621">
        <v>1010.75</v>
      </c>
      <c r="N621">
        <v>4.7E-2</v>
      </c>
      <c r="O621">
        <v>43</v>
      </c>
    </row>
    <row r="622" spans="1:15" x14ac:dyDescent="0.25">
      <c r="A622" t="s">
        <v>634</v>
      </c>
      <c r="B622" s="2">
        <v>45177</v>
      </c>
      <c r="C622" s="2">
        <v>45183</v>
      </c>
      <c r="D622" t="s">
        <v>646</v>
      </c>
      <c r="E622" t="s">
        <v>650</v>
      </c>
      <c r="F622" t="s">
        <v>678</v>
      </c>
      <c r="G622" t="s">
        <v>702</v>
      </c>
      <c r="H622" t="s">
        <v>711</v>
      </c>
      <c r="I622" t="s">
        <v>714</v>
      </c>
      <c r="J622" t="s">
        <v>733</v>
      </c>
      <c r="K622" t="s">
        <v>1352</v>
      </c>
      <c r="L622">
        <v>251.03</v>
      </c>
      <c r="M622">
        <v>411.48</v>
      </c>
      <c r="N622">
        <v>0.16500000000000001</v>
      </c>
      <c r="O622">
        <v>3</v>
      </c>
    </row>
    <row r="623" spans="1:15" x14ac:dyDescent="0.25">
      <c r="A623" t="s">
        <v>635</v>
      </c>
      <c r="B623" s="2">
        <v>45764</v>
      </c>
      <c r="C623" s="2">
        <v>45780</v>
      </c>
      <c r="D623" t="s">
        <v>648</v>
      </c>
      <c r="E623" t="s">
        <v>655</v>
      </c>
      <c r="F623" t="s">
        <v>692</v>
      </c>
      <c r="G623" t="s">
        <v>704</v>
      </c>
      <c r="H623" t="s">
        <v>709</v>
      </c>
      <c r="I623" t="s">
        <v>713</v>
      </c>
      <c r="J623" t="s">
        <v>729</v>
      </c>
      <c r="K623" t="s">
        <v>1353</v>
      </c>
      <c r="L623">
        <v>168.68</v>
      </c>
      <c r="M623">
        <v>413.34</v>
      </c>
      <c r="N623">
        <v>0.186</v>
      </c>
      <c r="O623">
        <v>7</v>
      </c>
    </row>
    <row r="624" spans="1:15" x14ac:dyDescent="0.25">
      <c r="A624" t="s">
        <v>636</v>
      </c>
      <c r="B624" s="2">
        <v>45501</v>
      </c>
      <c r="C624" s="2">
        <v>45527</v>
      </c>
      <c r="D624" t="s">
        <v>647</v>
      </c>
      <c r="E624" t="s">
        <v>654</v>
      </c>
      <c r="F624" t="s">
        <v>696</v>
      </c>
      <c r="G624" t="s">
        <v>701</v>
      </c>
      <c r="H624" t="s">
        <v>707</v>
      </c>
      <c r="I624" t="s">
        <v>713</v>
      </c>
      <c r="J624" t="s">
        <v>729</v>
      </c>
      <c r="K624" t="s">
        <v>1354</v>
      </c>
      <c r="L624">
        <v>1339.24</v>
      </c>
      <c r="M624">
        <v>1558.89</v>
      </c>
      <c r="N624">
        <v>0.192</v>
      </c>
      <c r="O624">
        <v>24</v>
      </c>
    </row>
    <row r="625" spans="1:15" x14ac:dyDescent="0.25">
      <c r="A625" t="s">
        <v>637</v>
      </c>
      <c r="B625" s="2">
        <v>45857</v>
      </c>
      <c r="C625" s="2">
        <v>45869</v>
      </c>
      <c r="D625" t="s">
        <v>646</v>
      </c>
      <c r="E625" t="s">
        <v>650</v>
      </c>
      <c r="F625" t="s">
        <v>664</v>
      </c>
      <c r="G625" t="s">
        <v>705</v>
      </c>
      <c r="H625" t="s">
        <v>709</v>
      </c>
      <c r="I625" t="s">
        <v>719</v>
      </c>
      <c r="J625" t="s">
        <v>733</v>
      </c>
      <c r="K625" t="s">
        <v>1355</v>
      </c>
      <c r="L625">
        <v>619.64</v>
      </c>
      <c r="M625">
        <v>861.16</v>
      </c>
      <c r="N625">
        <v>0.113</v>
      </c>
      <c r="O625">
        <v>14</v>
      </c>
    </row>
    <row r="626" spans="1:15" x14ac:dyDescent="0.25">
      <c r="A626" t="s">
        <v>638</v>
      </c>
      <c r="B626" s="2">
        <v>45141</v>
      </c>
      <c r="C626" s="2">
        <v>45140</v>
      </c>
      <c r="D626" t="s">
        <v>647</v>
      </c>
      <c r="E626" t="s">
        <v>659</v>
      </c>
      <c r="F626" t="s">
        <v>685</v>
      </c>
      <c r="G626" t="s">
        <v>703</v>
      </c>
      <c r="H626" t="s">
        <v>711</v>
      </c>
      <c r="I626" t="s">
        <v>713</v>
      </c>
      <c r="J626" t="s">
        <v>729</v>
      </c>
      <c r="K626" t="s">
        <v>1356</v>
      </c>
      <c r="L626">
        <v>1021.97</v>
      </c>
      <c r="M626">
        <v>2296.25</v>
      </c>
      <c r="N626">
        <v>0.161</v>
      </c>
      <c r="O626">
        <v>26</v>
      </c>
    </row>
    <row r="627" spans="1:15" x14ac:dyDescent="0.25">
      <c r="A627" t="s">
        <v>639</v>
      </c>
      <c r="B627" s="2">
        <v>45249</v>
      </c>
      <c r="C627" s="2">
        <v>45272</v>
      </c>
      <c r="D627" t="s">
        <v>647</v>
      </c>
      <c r="E627" t="s">
        <v>654</v>
      </c>
      <c r="F627" t="s">
        <v>680</v>
      </c>
      <c r="G627" t="s">
        <v>705</v>
      </c>
      <c r="H627" t="s">
        <v>711</v>
      </c>
      <c r="I627" t="s">
        <v>712</v>
      </c>
      <c r="J627" t="s">
        <v>729</v>
      </c>
      <c r="K627" t="s">
        <v>1357</v>
      </c>
      <c r="L627">
        <v>1349.04</v>
      </c>
      <c r="M627">
        <v>2636.6</v>
      </c>
      <c r="N627">
        <v>0.114</v>
      </c>
      <c r="O627">
        <v>14</v>
      </c>
    </row>
    <row r="628" spans="1:15" x14ac:dyDescent="0.25">
      <c r="A628" t="s">
        <v>640</v>
      </c>
      <c r="B628" s="2">
        <v>45282</v>
      </c>
      <c r="C628" s="2">
        <v>45307</v>
      </c>
      <c r="D628" t="s">
        <v>647</v>
      </c>
      <c r="E628" t="s">
        <v>654</v>
      </c>
      <c r="F628" t="s">
        <v>696</v>
      </c>
      <c r="G628" t="s">
        <v>705</v>
      </c>
      <c r="H628" t="s">
        <v>707</v>
      </c>
      <c r="I628" t="s">
        <v>720</v>
      </c>
      <c r="J628" t="s">
        <v>727</v>
      </c>
      <c r="K628" t="s">
        <v>1358</v>
      </c>
      <c r="L628">
        <v>1346.81</v>
      </c>
      <c r="M628">
        <v>978.09</v>
      </c>
      <c r="N628">
        <v>0.159</v>
      </c>
      <c r="O628">
        <v>17</v>
      </c>
    </row>
    <row r="629" spans="1:15" x14ac:dyDescent="0.25">
      <c r="A629" t="s">
        <v>641</v>
      </c>
      <c r="B629" s="2">
        <v>45141</v>
      </c>
      <c r="C629" s="2">
        <v>45168</v>
      </c>
      <c r="D629" t="s">
        <v>647</v>
      </c>
      <c r="E629" t="s">
        <v>659</v>
      </c>
      <c r="F629" t="s">
        <v>685</v>
      </c>
      <c r="G629" t="s">
        <v>704</v>
      </c>
      <c r="H629" t="s">
        <v>710</v>
      </c>
      <c r="I629" t="s">
        <v>725</v>
      </c>
      <c r="J629" t="s">
        <v>732</v>
      </c>
      <c r="K629" t="s">
        <v>1359</v>
      </c>
      <c r="L629">
        <v>226.04</v>
      </c>
      <c r="M629">
        <v>545.72</v>
      </c>
      <c r="N629">
        <v>0.151</v>
      </c>
      <c r="O629">
        <v>11</v>
      </c>
    </row>
    <row r="630" spans="1:15" x14ac:dyDescent="0.25">
      <c r="A630" t="s">
        <v>642</v>
      </c>
      <c r="B630" s="2">
        <v>45100</v>
      </c>
      <c r="C630" s="2">
        <v>45125</v>
      </c>
      <c r="D630" t="s">
        <v>648</v>
      </c>
      <c r="E630" t="s">
        <v>653</v>
      </c>
      <c r="F630" t="s">
        <v>688</v>
      </c>
      <c r="G630" t="s">
        <v>706</v>
      </c>
      <c r="H630" t="s">
        <v>708</v>
      </c>
      <c r="I630" t="s">
        <v>725</v>
      </c>
      <c r="J630" t="s">
        <v>730</v>
      </c>
      <c r="K630" t="s">
        <v>1360</v>
      </c>
      <c r="L630">
        <v>807.02</v>
      </c>
      <c r="M630">
        <v>1435.54</v>
      </c>
      <c r="N630">
        <v>0</v>
      </c>
      <c r="O630">
        <v>23</v>
      </c>
    </row>
    <row r="631" spans="1:15" x14ac:dyDescent="0.25">
      <c r="A631" t="s">
        <v>643</v>
      </c>
      <c r="B631" s="2">
        <v>45267</v>
      </c>
      <c r="C631" s="2">
        <v>45293</v>
      </c>
      <c r="D631" t="s">
        <v>649</v>
      </c>
      <c r="E631" t="s">
        <v>656</v>
      </c>
      <c r="F631" t="s">
        <v>698</v>
      </c>
      <c r="G631" t="s">
        <v>706</v>
      </c>
      <c r="H631" t="s">
        <v>710</v>
      </c>
      <c r="I631" t="s">
        <v>718</v>
      </c>
      <c r="J631" t="s">
        <v>727</v>
      </c>
      <c r="K631" t="s">
        <v>1361</v>
      </c>
      <c r="L631">
        <v>1071.99</v>
      </c>
      <c r="M631">
        <v>2397.3000000000002</v>
      </c>
      <c r="N631">
        <v>6.2E-2</v>
      </c>
      <c r="O631">
        <v>18</v>
      </c>
    </row>
    <row r="632" spans="1:15" x14ac:dyDescent="0.25">
      <c r="A632" t="s">
        <v>644</v>
      </c>
      <c r="B632" s="2">
        <v>45249</v>
      </c>
      <c r="C632" s="2">
        <v>45279</v>
      </c>
      <c r="D632" t="s">
        <v>647</v>
      </c>
      <c r="E632" t="s">
        <v>652</v>
      </c>
      <c r="F632" t="s">
        <v>694</v>
      </c>
      <c r="G632" t="s">
        <v>704</v>
      </c>
      <c r="H632" t="s">
        <v>707</v>
      </c>
      <c r="J632" t="s">
        <v>730</v>
      </c>
      <c r="K632" t="s">
        <v>1362</v>
      </c>
      <c r="L632">
        <v>807.11</v>
      </c>
      <c r="M632">
        <v>1853.86</v>
      </c>
      <c r="N632">
        <v>0.13900000000000001</v>
      </c>
      <c r="O632">
        <v>8</v>
      </c>
    </row>
    <row r="633" spans="1:15" x14ac:dyDescent="0.25">
      <c r="A633" t="s">
        <v>645</v>
      </c>
      <c r="B633" s="2">
        <v>45716</v>
      </c>
      <c r="C633" s="2">
        <v>45726</v>
      </c>
      <c r="D633" t="s">
        <v>647</v>
      </c>
      <c r="E633" t="s">
        <v>652</v>
      </c>
      <c r="F633" t="s">
        <v>666</v>
      </c>
      <c r="G633" t="s">
        <v>702</v>
      </c>
      <c r="H633" t="s">
        <v>710</v>
      </c>
      <c r="I633" t="s">
        <v>725</v>
      </c>
      <c r="J633" t="s">
        <v>731</v>
      </c>
      <c r="K633" t="s">
        <v>1363</v>
      </c>
      <c r="L633">
        <v>51.86</v>
      </c>
      <c r="M633">
        <v>45.98</v>
      </c>
      <c r="N633">
        <v>0.17299999999999999</v>
      </c>
      <c r="O633">
        <v>7</v>
      </c>
    </row>
  </sheetData>
  <autoFilter ref="M1:M633" xr:uid="{57CF40BF-CEB3-44E4-BAF2-8A5C499071F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9"/>
  <sheetViews>
    <sheetView tabSelected="1" topLeftCell="A34" workbookViewId="0">
      <selection activeCell="A21" sqref="A21:XFD21"/>
    </sheetView>
  </sheetViews>
  <sheetFormatPr defaultRowHeight="15" x14ac:dyDescent="0.25"/>
  <sheetData>
    <row r="1" spans="1:1" x14ac:dyDescent="0.25">
      <c r="A1" s="1" t="s">
        <v>1364</v>
      </c>
    </row>
    <row r="2" spans="1:1" x14ac:dyDescent="0.25">
      <c r="A2" t="s">
        <v>1365</v>
      </c>
    </row>
    <row r="4" spans="1:1" x14ac:dyDescent="0.25">
      <c r="A4" t="s">
        <v>1366</v>
      </c>
    </row>
    <row r="5" spans="1:1" x14ac:dyDescent="0.25">
      <c r="A5" t="s">
        <v>1367</v>
      </c>
    </row>
    <row r="6" spans="1:1" x14ac:dyDescent="0.25">
      <c r="A6" t="s">
        <v>1368</v>
      </c>
    </row>
    <row r="8" spans="1:1" x14ac:dyDescent="0.25">
      <c r="A8" t="s">
        <v>1369</v>
      </c>
    </row>
    <row r="9" spans="1:1" x14ac:dyDescent="0.25">
      <c r="A9" t="s">
        <v>1370</v>
      </c>
    </row>
    <row r="10" spans="1:1" x14ac:dyDescent="0.25">
      <c r="A10" t="s">
        <v>1371</v>
      </c>
    </row>
    <row r="11" spans="1:1" x14ac:dyDescent="0.25">
      <c r="A11" t="s">
        <v>1372</v>
      </c>
    </row>
    <row r="12" spans="1:1" x14ac:dyDescent="0.25">
      <c r="A12" t="s">
        <v>1373</v>
      </c>
    </row>
    <row r="13" spans="1:1" x14ac:dyDescent="0.25">
      <c r="A13" t="s">
        <v>1374</v>
      </c>
    </row>
    <row r="14" spans="1:1" x14ac:dyDescent="0.25">
      <c r="A14" t="s">
        <v>1375</v>
      </c>
    </row>
    <row r="15" spans="1:1" x14ac:dyDescent="0.25">
      <c r="A15" t="s">
        <v>1376</v>
      </c>
    </row>
    <row r="17" spans="1:1" x14ac:dyDescent="0.25">
      <c r="A17" t="s">
        <v>1377</v>
      </c>
    </row>
    <row r="18" spans="1:1" x14ac:dyDescent="0.25">
      <c r="A18" t="s">
        <v>1378</v>
      </c>
    </row>
    <row r="19" spans="1:1" x14ac:dyDescent="0.25">
      <c r="A19" t="s">
        <v>1379</v>
      </c>
    </row>
    <row r="20" spans="1:1" x14ac:dyDescent="0.25">
      <c r="A20" t="s">
        <v>1380</v>
      </c>
    </row>
    <row r="21" spans="1:1" x14ac:dyDescent="0.25">
      <c r="A21" t="s">
        <v>1381</v>
      </c>
    </row>
    <row r="23" spans="1:1" x14ac:dyDescent="0.25">
      <c r="A23" t="s">
        <v>1382</v>
      </c>
    </row>
    <row r="24" spans="1:1" x14ac:dyDescent="0.25">
      <c r="A24" t="s">
        <v>1383</v>
      </c>
    </row>
    <row r="25" spans="1:1" x14ac:dyDescent="0.25">
      <c r="A25" t="s">
        <v>1384</v>
      </c>
    </row>
    <row r="26" spans="1:1" x14ac:dyDescent="0.25">
      <c r="A26" t="s">
        <v>1385</v>
      </c>
    </row>
    <row r="27" spans="1:1" x14ac:dyDescent="0.25">
      <c r="A27" t="s">
        <v>1386</v>
      </c>
    </row>
    <row r="29" spans="1:1" x14ac:dyDescent="0.25">
      <c r="A29" t="s">
        <v>1387</v>
      </c>
    </row>
    <row r="30" spans="1:1" x14ac:dyDescent="0.25">
      <c r="A30" t="s">
        <v>1388</v>
      </c>
    </row>
    <row r="31" spans="1:1" x14ac:dyDescent="0.25">
      <c r="A31" t="s">
        <v>1389</v>
      </c>
    </row>
    <row r="32" spans="1:1" x14ac:dyDescent="0.25">
      <c r="A32" t="s">
        <v>1390</v>
      </c>
    </row>
    <row r="33" spans="1:1" x14ac:dyDescent="0.25">
      <c r="A33" t="s">
        <v>1391</v>
      </c>
    </row>
    <row r="34" spans="1:1" x14ac:dyDescent="0.25">
      <c r="A34" t="s">
        <v>1392</v>
      </c>
    </row>
    <row r="35" spans="1:1" x14ac:dyDescent="0.25">
      <c r="A35" t="s">
        <v>1393</v>
      </c>
    </row>
    <row r="36" spans="1:1" x14ac:dyDescent="0.25">
      <c r="A36" t="s">
        <v>1394</v>
      </c>
    </row>
    <row r="37" spans="1:1" x14ac:dyDescent="0.25">
      <c r="A37" t="s">
        <v>1395</v>
      </c>
    </row>
    <row r="38" spans="1:1" x14ac:dyDescent="0.25">
      <c r="A38" t="s">
        <v>1396</v>
      </c>
    </row>
    <row r="39" spans="1:1" x14ac:dyDescent="0.25">
      <c r="A39" t="s">
        <v>1397</v>
      </c>
    </row>
    <row r="40" spans="1:1" x14ac:dyDescent="0.25">
      <c r="A40" t="s">
        <v>1398</v>
      </c>
    </row>
    <row r="41" spans="1:1" x14ac:dyDescent="0.25">
      <c r="A41" t="s">
        <v>1399</v>
      </c>
    </row>
    <row r="43" spans="1:1" x14ac:dyDescent="0.25">
      <c r="A43" t="s">
        <v>1400</v>
      </c>
    </row>
    <row r="44" spans="1:1" x14ac:dyDescent="0.25">
      <c r="A44" t="s">
        <v>1401</v>
      </c>
    </row>
    <row r="45" spans="1:1" x14ac:dyDescent="0.25">
      <c r="A45" t="s">
        <v>1402</v>
      </c>
    </row>
    <row r="46" spans="1:1" x14ac:dyDescent="0.25">
      <c r="A46" t="s">
        <v>1403</v>
      </c>
    </row>
    <row r="47" spans="1:1" x14ac:dyDescent="0.25">
      <c r="A47" t="s">
        <v>1404</v>
      </c>
    </row>
    <row r="48" spans="1:1" x14ac:dyDescent="0.25">
      <c r="A48" t="s">
        <v>1405</v>
      </c>
    </row>
    <row r="50" spans="1:1" x14ac:dyDescent="0.25">
      <c r="A50" t="s">
        <v>1406</v>
      </c>
    </row>
    <row r="51" spans="1:1" x14ac:dyDescent="0.25">
      <c r="A51" t="s">
        <v>1407</v>
      </c>
    </row>
    <row r="52" spans="1:1" x14ac:dyDescent="0.25">
      <c r="A52" t="s">
        <v>1408</v>
      </c>
    </row>
    <row r="53" spans="1:1" x14ac:dyDescent="0.25">
      <c r="A53" t="s">
        <v>1409</v>
      </c>
    </row>
    <row r="54" spans="1:1" x14ac:dyDescent="0.25">
      <c r="A54" t="s">
        <v>1410</v>
      </c>
    </row>
    <row r="55" spans="1:1" x14ac:dyDescent="0.25">
      <c r="A55" t="s">
        <v>1411</v>
      </c>
    </row>
    <row r="56" spans="1:1" x14ac:dyDescent="0.25">
      <c r="A56" t="s">
        <v>1412</v>
      </c>
    </row>
    <row r="57" spans="1:1" x14ac:dyDescent="0.25">
      <c r="A57" t="s">
        <v>1413</v>
      </c>
    </row>
    <row r="58" spans="1:1" x14ac:dyDescent="0.25">
      <c r="A58" t="s">
        <v>1414</v>
      </c>
    </row>
    <row r="59" spans="1:1" x14ac:dyDescent="0.25">
      <c r="A59" t="s">
        <v>1415</v>
      </c>
    </row>
    <row r="61" spans="1:1" x14ac:dyDescent="0.25">
      <c r="A61" t="s">
        <v>1416</v>
      </c>
    </row>
    <row r="62" spans="1:1" x14ac:dyDescent="0.25">
      <c r="A62" t="s">
        <v>1417</v>
      </c>
    </row>
    <row r="64" spans="1:1" x14ac:dyDescent="0.25">
      <c r="A64" t="s">
        <v>1418</v>
      </c>
    </row>
    <row r="65" spans="1:7" x14ac:dyDescent="0.25">
      <c r="A65" t="s">
        <v>1419</v>
      </c>
    </row>
    <row r="66" spans="1:7" x14ac:dyDescent="0.25">
      <c r="A66" t="s">
        <v>1420</v>
      </c>
    </row>
    <row r="67" spans="1:7" x14ac:dyDescent="0.25">
      <c r="A67" t="s">
        <v>1421</v>
      </c>
    </row>
    <row r="71" spans="1:7" x14ac:dyDescent="0.25">
      <c r="G71" t="s">
        <v>1429</v>
      </c>
    </row>
    <row r="79" spans="1:7" x14ac:dyDescent="0.25">
      <c r="F79" t="s">
        <v>1428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11EF5-12D1-4395-81CA-67D586DB90DF}">
  <dimension ref="A3:B645"/>
  <sheetViews>
    <sheetView topLeftCell="A85" workbookViewId="0">
      <selection activeCell="B5" sqref="B5"/>
    </sheetView>
  </sheetViews>
  <sheetFormatPr defaultRowHeight="15" x14ac:dyDescent="0.25"/>
  <cols>
    <col min="1" max="1" width="14.140625" bestFit="1" customWidth="1"/>
    <col min="2" max="2" width="20.7109375" bestFit="1" customWidth="1"/>
  </cols>
  <sheetData>
    <row r="3" spans="1:2" x14ac:dyDescent="0.25">
      <c r="A3" s="3" t="s">
        <v>1423</v>
      </c>
      <c r="B3" t="s">
        <v>1440</v>
      </c>
    </row>
    <row r="4" spans="1:2" x14ac:dyDescent="0.25">
      <c r="A4" s="4" t="s">
        <v>733</v>
      </c>
      <c r="B4" s="8">
        <v>0.12484724848365983</v>
      </c>
    </row>
    <row r="5" spans="1:2" x14ac:dyDescent="0.25">
      <c r="A5" s="16" t="s">
        <v>873</v>
      </c>
      <c r="B5" s="8">
        <v>1.3156894174309302E-4</v>
      </c>
    </row>
    <row r="6" spans="1:2" x14ac:dyDescent="0.25">
      <c r="A6" s="16" t="s">
        <v>1355</v>
      </c>
      <c r="B6" s="8">
        <v>9.7237806152211215E-4</v>
      </c>
    </row>
    <row r="7" spans="1:2" x14ac:dyDescent="0.25">
      <c r="A7" s="16" t="s">
        <v>1067</v>
      </c>
      <c r="B7" s="8">
        <v>5.1011684098771915E-4</v>
      </c>
    </row>
    <row r="8" spans="1:2" x14ac:dyDescent="0.25">
      <c r="A8" s="16" t="s">
        <v>1149</v>
      </c>
      <c r="B8" s="8">
        <v>9.9053995148003769E-4</v>
      </c>
    </row>
    <row r="9" spans="1:2" x14ac:dyDescent="0.25">
      <c r="A9" s="16" t="s">
        <v>1074</v>
      </c>
      <c r="B9" s="8">
        <v>1.5519606805016236E-3</v>
      </c>
    </row>
    <row r="10" spans="1:2" x14ac:dyDescent="0.25">
      <c r="A10" s="16" t="s">
        <v>1128</v>
      </c>
      <c r="B10" s="8">
        <v>1.3122551801056784E-3</v>
      </c>
    </row>
    <row r="11" spans="1:2" x14ac:dyDescent="0.25">
      <c r="A11" s="16" t="s">
        <v>1175</v>
      </c>
      <c r="B11" s="8">
        <v>2.8654350461462356E-3</v>
      </c>
    </row>
    <row r="12" spans="1:2" x14ac:dyDescent="0.25">
      <c r="A12" s="16" t="s">
        <v>1027</v>
      </c>
      <c r="B12" s="8">
        <v>6.712467850107578E-4</v>
      </c>
    </row>
    <row r="13" spans="1:2" x14ac:dyDescent="0.25">
      <c r="A13" s="16" t="s">
        <v>1225</v>
      </c>
      <c r="B13" s="8">
        <v>6.8264070622924943E-4</v>
      </c>
    </row>
    <row r="14" spans="1:2" x14ac:dyDescent="0.25">
      <c r="A14" s="16" t="s">
        <v>1321</v>
      </c>
      <c r="B14" s="8">
        <v>1.0948366974992516E-3</v>
      </c>
    </row>
    <row r="15" spans="1:2" x14ac:dyDescent="0.25">
      <c r="A15" s="16" t="s">
        <v>941</v>
      </c>
      <c r="B15" s="8">
        <v>2.5810955856142683E-3</v>
      </c>
    </row>
    <row r="16" spans="1:2" x14ac:dyDescent="0.25">
      <c r="A16" s="16" t="s">
        <v>748</v>
      </c>
      <c r="B16" s="8">
        <v>6.8913195068790053E-4</v>
      </c>
    </row>
    <row r="17" spans="1:2" x14ac:dyDescent="0.25">
      <c r="A17" s="16" t="s">
        <v>1212</v>
      </c>
      <c r="B17" s="8">
        <v>2.0568790527589332E-3</v>
      </c>
    </row>
    <row r="18" spans="1:2" x14ac:dyDescent="0.25">
      <c r="A18" s="16" t="s">
        <v>792</v>
      </c>
      <c r="B18" s="8">
        <v>3.7873380240041007E-3</v>
      </c>
    </row>
    <row r="19" spans="1:2" x14ac:dyDescent="0.25">
      <c r="A19" s="16" t="s">
        <v>995</v>
      </c>
      <c r="B19" s="8">
        <v>1.6334748633879501E-3</v>
      </c>
    </row>
    <row r="20" spans="1:2" x14ac:dyDescent="0.25">
      <c r="A20" s="16" t="s">
        <v>793</v>
      </c>
      <c r="B20" s="8">
        <v>4.1552931532486012E-4</v>
      </c>
    </row>
    <row r="21" spans="1:2" x14ac:dyDescent="0.25">
      <c r="A21" s="16" t="s">
        <v>1059</v>
      </c>
      <c r="B21" s="8">
        <v>8.9373983910034135E-4</v>
      </c>
    </row>
    <row r="22" spans="1:2" x14ac:dyDescent="0.25">
      <c r="A22" s="16" t="s">
        <v>837</v>
      </c>
      <c r="B22" s="8">
        <v>5.4196375648138991E-4</v>
      </c>
    </row>
    <row r="23" spans="1:2" x14ac:dyDescent="0.25">
      <c r="A23" s="16" t="s">
        <v>904</v>
      </c>
      <c r="B23" s="8">
        <v>1.3229202382001295E-3</v>
      </c>
    </row>
    <row r="24" spans="1:2" x14ac:dyDescent="0.25">
      <c r="A24" s="16" t="s">
        <v>804</v>
      </c>
      <c r="B24" s="8">
        <v>9.6818101658414956E-4</v>
      </c>
    </row>
    <row r="25" spans="1:2" x14ac:dyDescent="0.25">
      <c r="A25" s="16" t="s">
        <v>1231</v>
      </c>
      <c r="B25" s="8">
        <v>7.8604615277541069E-4</v>
      </c>
    </row>
    <row r="26" spans="1:2" x14ac:dyDescent="0.25">
      <c r="A26" s="16" t="s">
        <v>1150</v>
      </c>
      <c r="B26" s="8">
        <v>7.2465054670993478E-4</v>
      </c>
    </row>
    <row r="27" spans="1:2" x14ac:dyDescent="0.25">
      <c r="A27" s="16" t="s">
        <v>1046</v>
      </c>
      <c r="B27" s="8">
        <v>1.0259818130079824E-3</v>
      </c>
    </row>
    <row r="28" spans="1:2" x14ac:dyDescent="0.25">
      <c r="A28" s="16" t="s">
        <v>1053</v>
      </c>
      <c r="B28" s="8">
        <v>4.8223309653311897E-3</v>
      </c>
    </row>
    <row r="29" spans="1:2" x14ac:dyDescent="0.25">
      <c r="A29" s="16" t="s">
        <v>1223</v>
      </c>
      <c r="B29" s="8">
        <v>1.4069809151491823E-4</v>
      </c>
    </row>
    <row r="30" spans="1:2" x14ac:dyDescent="0.25">
      <c r="A30" s="16" t="s">
        <v>1066</v>
      </c>
      <c r="B30" s="8">
        <v>6.4607850744833456E-4</v>
      </c>
    </row>
    <row r="31" spans="1:2" x14ac:dyDescent="0.25">
      <c r="A31" s="16" t="s">
        <v>1089</v>
      </c>
      <c r="B31" s="8">
        <v>2.1090863764821411E-3</v>
      </c>
    </row>
    <row r="32" spans="1:2" x14ac:dyDescent="0.25">
      <c r="A32" s="16" t="s">
        <v>1250</v>
      </c>
      <c r="B32" s="8">
        <v>9.1871886552253663E-5</v>
      </c>
    </row>
    <row r="33" spans="1:2" x14ac:dyDescent="0.25">
      <c r="A33" s="16" t="s">
        <v>919</v>
      </c>
      <c r="B33" s="8">
        <v>9.4460353173898707E-4</v>
      </c>
    </row>
    <row r="34" spans="1:2" x14ac:dyDescent="0.25">
      <c r="A34" s="16" t="s">
        <v>1279</v>
      </c>
      <c r="B34" s="8">
        <v>1.4122029270662367E-3</v>
      </c>
    </row>
    <row r="35" spans="1:2" x14ac:dyDescent="0.25">
      <c r="A35" s="16" t="s">
        <v>955</v>
      </c>
      <c r="B35" s="8">
        <v>8.2566370197390248E-5</v>
      </c>
    </row>
    <row r="36" spans="1:2" x14ac:dyDescent="0.25">
      <c r="A36" s="16" t="s">
        <v>993</v>
      </c>
      <c r="B36" s="8">
        <v>6.8823386886395985E-4</v>
      </c>
    </row>
    <row r="37" spans="1:2" x14ac:dyDescent="0.25">
      <c r="A37" s="16" t="s">
        <v>1184</v>
      </c>
      <c r="B37" s="8">
        <v>1.7847864111186656E-3</v>
      </c>
    </row>
    <row r="38" spans="1:2" x14ac:dyDescent="0.25">
      <c r="A38" s="16" t="s">
        <v>1255</v>
      </c>
      <c r="B38" s="8">
        <v>2.0483136137302146E-3</v>
      </c>
    </row>
    <row r="39" spans="1:2" x14ac:dyDescent="0.25">
      <c r="A39" s="16" t="s">
        <v>1310</v>
      </c>
      <c r="B39" s="8">
        <v>6.1216953541945397E-4</v>
      </c>
    </row>
    <row r="40" spans="1:2" x14ac:dyDescent="0.25">
      <c r="A40" s="16" t="s">
        <v>1004</v>
      </c>
      <c r="B40" s="8">
        <v>6.5788653578891117E-4</v>
      </c>
    </row>
    <row r="41" spans="1:2" x14ac:dyDescent="0.25">
      <c r="A41" s="16" t="s">
        <v>756</v>
      </c>
      <c r="B41" s="8">
        <v>9.9448340796453845E-4</v>
      </c>
    </row>
    <row r="42" spans="1:2" x14ac:dyDescent="0.25">
      <c r="A42" s="16" t="s">
        <v>892</v>
      </c>
      <c r="B42" s="8">
        <v>9.4407876927553216E-4</v>
      </c>
    </row>
    <row r="43" spans="1:2" x14ac:dyDescent="0.25">
      <c r="A43" s="16" t="s">
        <v>865</v>
      </c>
      <c r="B43" s="8">
        <v>4.0170661506758274E-4</v>
      </c>
    </row>
    <row r="44" spans="1:2" x14ac:dyDescent="0.25">
      <c r="A44" s="16" t="s">
        <v>888</v>
      </c>
      <c r="B44" s="8">
        <v>1.0016229620594783E-3</v>
      </c>
    </row>
    <row r="45" spans="1:2" x14ac:dyDescent="0.25">
      <c r="A45" s="16" t="s">
        <v>1024</v>
      </c>
      <c r="B45" s="8">
        <v>1.7336453867973878E-3</v>
      </c>
    </row>
    <row r="46" spans="1:2" x14ac:dyDescent="0.25">
      <c r="A46" s="16" t="s">
        <v>810</v>
      </c>
      <c r="B46" s="8">
        <v>3.2185276331740511E-3</v>
      </c>
    </row>
    <row r="47" spans="1:2" x14ac:dyDescent="0.25">
      <c r="A47" s="16" t="s">
        <v>847</v>
      </c>
      <c r="B47" s="8">
        <v>1.925394301640413E-4</v>
      </c>
    </row>
    <row r="48" spans="1:2" x14ac:dyDescent="0.25">
      <c r="A48" s="16" t="s">
        <v>1303</v>
      </c>
      <c r="B48" s="8">
        <v>4.1619283819518851E-4</v>
      </c>
    </row>
    <row r="49" spans="1:2" x14ac:dyDescent="0.25">
      <c r="A49" s="16" t="s">
        <v>921</v>
      </c>
      <c r="B49" s="8">
        <v>2.4331797697505608E-3</v>
      </c>
    </row>
    <row r="50" spans="1:2" x14ac:dyDescent="0.25">
      <c r="A50" s="16" t="s">
        <v>1352</v>
      </c>
      <c r="B50" s="8">
        <v>9.3725142336820473E-5</v>
      </c>
    </row>
    <row r="51" spans="1:2" x14ac:dyDescent="0.25">
      <c r="A51" s="16" t="s">
        <v>1322</v>
      </c>
      <c r="B51" s="8">
        <v>8.2038803501445858E-4</v>
      </c>
    </row>
    <row r="52" spans="1:2" x14ac:dyDescent="0.25">
      <c r="A52" s="16" t="s">
        <v>961</v>
      </c>
      <c r="B52" s="8">
        <v>5.0316359922645583E-4</v>
      </c>
    </row>
    <row r="53" spans="1:2" x14ac:dyDescent="0.25">
      <c r="A53" s="16" t="s">
        <v>1286</v>
      </c>
      <c r="B53" s="8">
        <v>1.4421958629851133E-3</v>
      </c>
    </row>
    <row r="54" spans="1:2" x14ac:dyDescent="0.25">
      <c r="A54" s="16" t="s">
        <v>1285</v>
      </c>
      <c r="B54" s="8">
        <v>1.8334269511580085E-3</v>
      </c>
    </row>
    <row r="55" spans="1:2" x14ac:dyDescent="0.25">
      <c r="A55" s="16" t="s">
        <v>831</v>
      </c>
      <c r="B55" s="8">
        <v>3.104219897193547E-3</v>
      </c>
    </row>
    <row r="56" spans="1:2" x14ac:dyDescent="0.25">
      <c r="A56" s="16" t="s">
        <v>1194</v>
      </c>
      <c r="B56" s="8">
        <v>8.4579410858226501E-5</v>
      </c>
    </row>
    <row r="57" spans="1:2" x14ac:dyDescent="0.25">
      <c r="A57" s="16" t="s">
        <v>948</v>
      </c>
      <c r="B57" s="8">
        <v>7.1421267872989573E-4</v>
      </c>
    </row>
    <row r="58" spans="1:2" x14ac:dyDescent="0.25">
      <c r="A58" s="16" t="s">
        <v>1086</v>
      </c>
      <c r="B58" s="8">
        <v>2.4143862500658093E-3</v>
      </c>
    </row>
    <row r="59" spans="1:2" x14ac:dyDescent="0.25">
      <c r="A59" s="16" t="s">
        <v>1033</v>
      </c>
      <c r="B59" s="8">
        <v>1.1547254723324205E-3</v>
      </c>
    </row>
    <row r="60" spans="1:2" x14ac:dyDescent="0.25">
      <c r="A60" s="16" t="s">
        <v>791</v>
      </c>
      <c r="B60" s="8">
        <v>4.3555684551822935E-4</v>
      </c>
    </row>
    <row r="61" spans="1:2" x14ac:dyDescent="0.25">
      <c r="A61" s="16" t="s">
        <v>1022</v>
      </c>
      <c r="B61" s="8">
        <v>2.4337028345804042E-3</v>
      </c>
    </row>
    <row r="62" spans="1:2" x14ac:dyDescent="0.25">
      <c r="A62" s="16" t="s">
        <v>784</v>
      </c>
      <c r="B62" s="8">
        <v>1.3543700947412811E-3</v>
      </c>
    </row>
    <row r="63" spans="1:2" x14ac:dyDescent="0.25">
      <c r="A63" s="16" t="s">
        <v>881</v>
      </c>
      <c r="B63" s="8">
        <v>1.2112702199263501E-3</v>
      </c>
    </row>
    <row r="64" spans="1:2" x14ac:dyDescent="0.25">
      <c r="A64" s="16" t="s">
        <v>1171</v>
      </c>
      <c r="B64" s="8">
        <v>2.2076374174390713E-3</v>
      </c>
    </row>
    <row r="65" spans="1:2" x14ac:dyDescent="0.25">
      <c r="A65" s="16" t="s">
        <v>1080</v>
      </c>
      <c r="B65" s="8">
        <v>7.1908474543717592E-3</v>
      </c>
    </row>
    <row r="66" spans="1:2" x14ac:dyDescent="0.25">
      <c r="A66" s="16" t="s">
        <v>914</v>
      </c>
      <c r="B66" s="8">
        <v>1.6967097786368511E-6</v>
      </c>
    </row>
    <row r="67" spans="1:2" x14ac:dyDescent="0.25">
      <c r="A67" s="16" t="s">
        <v>1092</v>
      </c>
      <c r="B67" s="8">
        <v>3.7024234273463924E-4</v>
      </c>
    </row>
    <row r="68" spans="1:2" x14ac:dyDescent="0.25">
      <c r="A68" s="16" t="s">
        <v>876</v>
      </c>
      <c r="B68" s="8">
        <v>2.917563477643935E-3</v>
      </c>
    </row>
    <row r="69" spans="1:2" x14ac:dyDescent="0.25">
      <c r="A69" s="16" t="s">
        <v>1227</v>
      </c>
      <c r="B69" s="8">
        <v>1.078383345288906E-3</v>
      </c>
    </row>
    <row r="70" spans="1:2" x14ac:dyDescent="0.25">
      <c r="A70" s="16" t="s">
        <v>1291</v>
      </c>
      <c r="B70" s="8">
        <v>1.1919611915635017E-3</v>
      </c>
    </row>
    <row r="71" spans="1:2" x14ac:dyDescent="0.25">
      <c r="A71" s="16" t="s">
        <v>1199</v>
      </c>
      <c r="B71" s="8">
        <v>2.4731227381268847E-4</v>
      </c>
    </row>
    <row r="72" spans="1:2" x14ac:dyDescent="0.25">
      <c r="A72" s="16" t="s">
        <v>1338</v>
      </c>
      <c r="B72" s="8">
        <v>1.2599518514282166E-3</v>
      </c>
    </row>
    <row r="73" spans="1:2" x14ac:dyDescent="0.25">
      <c r="A73" s="16" t="s">
        <v>1094</v>
      </c>
      <c r="B73" s="8">
        <v>3.1977474884439137E-3</v>
      </c>
    </row>
    <row r="74" spans="1:2" x14ac:dyDescent="0.25">
      <c r="A74" s="16" t="s">
        <v>1326</v>
      </c>
      <c r="B74" s="8">
        <v>7.6070898476468562E-4</v>
      </c>
    </row>
    <row r="75" spans="1:2" x14ac:dyDescent="0.25">
      <c r="A75" s="16" t="s">
        <v>744</v>
      </c>
      <c r="B75" s="8">
        <v>1.4554133418567409E-3</v>
      </c>
    </row>
    <row r="76" spans="1:2" x14ac:dyDescent="0.25">
      <c r="A76" s="16" t="s">
        <v>1011</v>
      </c>
      <c r="B76" s="8">
        <v>5.51621489528901E-4</v>
      </c>
    </row>
    <row r="77" spans="1:2" x14ac:dyDescent="0.25">
      <c r="A77" s="16" t="s">
        <v>752</v>
      </c>
      <c r="B77" s="8">
        <v>3.4640258449885604E-3</v>
      </c>
    </row>
    <row r="78" spans="1:2" x14ac:dyDescent="0.25">
      <c r="A78" s="16" t="s">
        <v>1072</v>
      </c>
      <c r="B78" s="8">
        <v>2.7474036813214325E-4</v>
      </c>
    </row>
    <row r="79" spans="1:2" x14ac:dyDescent="0.25">
      <c r="A79" s="16" t="s">
        <v>1275</v>
      </c>
      <c r="B79" s="8">
        <v>4.3074791777852862E-4</v>
      </c>
    </row>
    <row r="80" spans="1:2" x14ac:dyDescent="0.25">
      <c r="A80" s="16" t="s">
        <v>1026</v>
      </c>
      <c r="B80" s="8">
        <v>2.1255058469444271E-3</v>
      </c>
    </row>
    <row r="81" spans="1:2" x14ac:dyDescent="0.25">
      <c r="A81" s="16" t="s">
        <v>1188</v>
      </c>
      <c r="B81" s="8">
        <v>1.3414402624723112E-3</v>
      </c>
    </row>
    <row r="82" spans="1:2" x14ac:dyDescent="0.25">
      <c r="A82" s="16" t="s">
        <v>759</v>
      </c>
      <c r="B82" s="8">
        <v>7.8164712308120821E-4</v>
      </c>
    </row>
    <row r="83" spans="1:2" x14ac:dyDescent="0.25">
      <c r="A83" s="16" t="s">
        <v>943</v>
      </c>
      <c r="B83" s="8">
        <v>1.6228820115522459E-3</v>
      </c>
    </row>
    <row r="84" spans="1:2" x14ac:dyDescent="0.25">
      <c r="A84" s="16" t="s">
        <v>827</v>
      </c>
      <c r="B84" s="8">
        <v>1.8257830007472452E-3</v>
      </c>
    </row>
    <row r="85" spans="1:2" x14ac:dyDescent="0.25">
      <c r="A85" s="16" t="s">
        <v>800</v>
      </c>
      <c r="B85" s="8">
        <v>1.4560987748392811E-3</v>
      </c>
    </row>
    <row r="86" spans="1:2" x14ac:dyDescent="0.25">
      <c r="A86" s="16" t="s">
        <v>811</v>
      </c>
      <c r="B86" s="8">
        <v>3.0062969424828959E-3</v>
      </c>
    </row>
    <row r="87" spans="1:2" x14ac:dyDescent="0.25">
      <c r="A87" s="16" t="s">
        <v>1288</v>
      </c>
      <c r="B87" s="8">
        <v>4.2236487752426704E-3</v>
      </c>
    </row>
    <row r="88" spans="1:2" x14ac:dyDescent="0.25">
      <c r="A88" s="16" t="s">
        <v>1270</v>
      </c>
      <c r="B88" s="8">
        <v>1.8577377919004696E-3</v>
      </c>
    </row>
    <row r="89" spans="1:2" x14ac:dyDescent="0.25">
      <c r="A89" s="16" t="s">
        <v>1040</v>
      </c>
      <c r="B89" s="8">
        <v>3.917639359915041E-3</v>
      </c>
    </row>
    <row r="90" spans="1:2" x14ac:dyDescent="0.25">
      <c r="A90" s="16" t="s">
        <v>916</v>
      </c>
      <c r="B90" s="8">
        <v>6.9919008885380618E-4</v>
      </c>
    </row>
    <row r="91" spans="1:2" x14ac:dyDescent="0.25">
      <c r="A91" s="16" t="s">
        <v>1142</v>
      </c>
      <c r="B91" s="8">
        <v>2.1521447771391949E-3</v>
      </c>
    </row>
    <row r="92" spans="1:2" x14ac:dyDescent="0.25">
      <c r="A92" s="16" t="s">
        <v>843</v>
      </c>
      <c r="B92" s="8">
        <v>4.9992454703015608E-5</v>
      </c>
    </row>
    <row r="93" spans="1:2" x14ac:dyDescent="0.25">
      <c r="A93" s="4" t="s">
        <v>727</v>
      </c>
      <c r="B93" s="8">
        <v>0.14054324019470016</v>
      </c>
    </row>
    <row r="94" spans="1:2" x14ac:dyDescent="0.25">
      <c r="A94" s="16" t="s">
        <v>809</v>
      </c>
      <c r="B94" s="8">
        <v>6.2508586845511148E-4</v>
      </c>
    </row>
    <row r="95" spans="1:2" x14ac:dyDescent="0.25">
      <c r="A95" s="16" t="s">
        <v>903</v>
      </c>
      <c r="B95" s="8">
        <v>2.1061406339105293E-4</v>
      </c>
    </row>
    <row r="96" spans="1:2" x14ac:dyDescent="0.25">
      <c r="A96" s="16" t="s">
        <v>1247</v>
      </c>
      <c r="B96" s="8">
        <v>3.0286938418129252E-3</v>
      </c>
    </row>
    <row r="97" spans="1:2" x14ac:dyDescent="0.25">
      <c r="A97" s="16" t="s">
        <v>1205</v>
      </c>
      <c r="B97" s="8">
        <v>1.3979847481923895E-3</v>
      </c>
    </row>
    <row r="98" spans="1:2" x14ac:dyDescent="0.25">
      <c r="A98" s="16" t="s">
        <v>1313</v>
      </c>
      <c r="B98" s="8">
        <v>5.5810064141690501E-4</v>
      </c>
    </row>
    <row r="99" spans="1:2" x14ac:dyDescent="0.25">
      <c r="A99" s="16" t="s">
        <v>1341</v>
      </c>
      <c r="B99" s="8">
        <v>1.8890015652475652E-4</v>
      </c>
    </row>
    <row r="100" spans="1:2" x14ac:dyDescent="0.25">
      <c r="A100" s="16" t="s">
        <v>1358</v>
      </c>
      <c r="B100" s="8">
        <v>1.2715205488916712E-3</v>
      </c>
    </row>
    <row r="101" spans="1:2" x14ac:dyDescent="0.25">
      <c r="A101" s="16" t="s">
        <v>768</v>
      </c>
      <c r="B101" s="8">
        <v>2.4852401322326477E-3</v>
      </c>
    </row>
    <row r="102" spans="1:2" x14ac:dyDescent="0.25">
      <c r="A102" s="16" t="s">
        <v>906</v>
      </c>
      <c r="B102" s="8">
        <v>8.8214570895766285E-6</v>
      </c>
    </row>
    <row r="103" spans="1:2" x14ac:dyDescent="0.25">
      <c r="A103" s="16" t="s">
        <v>1361</v>
      </c>
      <c r="B103" s="8">
        <v>3.6804199498320601E-3</v>
      </c>
    </row>
    <row r="104" spans="1:2" x14ac:dyDescent="0.25">
      <c r="A104" s="16" t="s">
        <v>1135</v>
      </c>
      <c r="B104" s="8">
        <v>1.5408813652531936E-3</v>
      </c>
    </row>
    <row r="105" spans="1:2" x14ac:dyDescent="0.25">
      <c r="A105" s="16" t="s">
        <v>860</v>
      </c>
      <c r="B105" s="8">
        <v>5.9204755005583089E-3</v>
      </c>
    </row>
    <row r="106" spans="1:2" x14ac:dyDescent="0.25">
      <c r="A106" s="16" t="s">
        <v>1125</v>
      </c>
      <c r="B106" s="8">
        <v>4.3734670828120964E-3</v>
      </c>
    </row>
    <row r="107" spans="1:2" x14ac:dyDescent="0.25">
      <c r="A107" s="16" t="s">
        <v>858</v>
      </c>
      <c r="B107" s="8">
        <v>1.8848787251750333E-4</v>
      </c>
    </row>
    <row r="108" spans="1:2" x14ac:dyDescent="0.25">
      <c r="A108" s="16" t="s">
        <v>1218</v>
      </c>
      <c r="B108" s="8">
        <v>5.513219022060589E-4</v>
      </c>
    </row>
    <row r="109" spans="1:2" x14ac:dyDescent="0.25">
      <c r="A109" s="16" t="s">
        <v>1257</v>
      </c>
      <c r="B109" s="8">
        <v>5.8514762744737124E-4</v>
      </c>
    </row>
    <row r="110" spans="1:2" x14ac:dyDescent="0.25">
      <c r="A110" s="16" t="s">
        <v>1111</v>
      </c>
      <c r="B110" s="8">
        <v>1.3956332846803007E-3</v>
      </c>
    </row>
    <row r="111" spans="1:2" x14ac:dyDescent="0.25">
      <c r="A111" s="16" t="s">
        <v>758</v>
      </c>
      <c r="B111" s="8">
        <v>2.2636112509404186E-3</v>
      </c>
    </row>
    <row r="112" spans="1:2" x14ac:dyDescent="0.25">
      <c r="A112" s="16" t="s">
        <v>821</v>
      </c>
      <c r="B112" s="8">
        <v>1.5047713398683366E-4</v>
      </c>
    </row>
    <row r="113" spans="1:2" x14ac:dyDescent="0.25">
      <c r="A113" s="16" t="s">
        <v>816</v>
      </c>
      <c r="B113" s="8">
        <v>4.8480029554277148E-4</v>
      </c>
    </row>
    <row r="114" spans="1:2" x14ac:dyDescent="0.25">
      <c r="A114" s="16" t="s">
        <v>1058</v>
      </c>
      <c r="B114" s="8">
        <v>2.3655437289073636E-3</v>
      </c>
    </row>
    <row r="115" spans="1:2" x14ac:dyDescent="0.25">
      <c r="A115" s="16" t="s">
        <v>1244</v>
      </c>
      <c r="B115" s="8">
        <v>3.2057274393728063E-4</v>
      </c>
    </row>
    <row r="116" spans="1:2" x14ac:dyDescent="0.25">
      <c r="A116" s="16" t="s">
        <v>1101</v>
      </c>
      <c r="B116" s="8">
        <v>1.6871195854015449E-3</v>
      </c>
    </row>
    <row r="117" spans="1:2" x14ac:dyDescent="0.25">
      <c r="A117" s="16" t="s">
        <v>1192</v>
      </c>
      <c r="B117" s="8">
        <v>2.2115219450327913E-3</v>
      </c>
    </row>
    <row r="118" spans="1:2" x14ac:dyDescent="0.25">
      <c r="A118" s="16" t="s">
        <v>746</v>
      </c>
      <c r="B118" s="8">
        <v>4.5177822114210567E-4</v>
      </c>
    </row>
    <row r="119" spans="1:2" x14ac:dyDescent="0.25">
      <c r="A119" s="16" t="s">
        <v>870</v>
      </c>
      <c r="B119" s="8">
        <v>8.8183872006138923E-4</v>
      </c>
    </row>
    <row r="120" spans="1:2" x14ac:dyDescent="0.25">
      <c r="A120" s="16" t="s">
        <v>743</v>
      </c>
      <c r="B120" s="8">
        <v>5.5401324851612052E-3</v>
      </c>
    </row>
    <row r="121" spans="1:2" x14ac:dyDescent="0.25">
      <c r="A121" s="16" t="s">
        <v>1028</v>
      </c>
      <c r="B121" s="8">
        <v>8.0957973737913848E-4</v>
      </c>
    </row>
    <row r="122" spans="1:2" x14ac:dyDescent="0.25">
      <c r="A122" s="16" t="s">
        <v>891</v>
      </c>
      <c r="B122" s="8">
        <v>2.1957324521279303E-3</v>
      </c>
    </row>
    <row r="123" spans="1:2" x14ac:dyDescent="0.25">
      <c r="A123" s="16" t="s">
        <v>1198</v>
      </c>
      <c r="B123" s="8">
        <v>7.6503644651765316E-3</v>
      </c>
    </row>
    <row r="124" spans="1:2" x14ac:dyDescent="0.25">
      <c r="A124" s="16" t="s">
        <v>944</v>
      </c>
      <c r="B124" s="8">
        <v>1.6422767817785226E-3</v>
      </c>
    </row>
    <row r="125" spans="1:2" x14ac:dyDescent="0.25">
      <c r="A125" s="16" t="s">
        <v>1049</v>
      </c>
      <c r="B125" s="8">
        <v>7.9840435261727669E-4</v>
      </c>
    </row>
    <row r="126" spans="1:2" x14ac:dyDescent="0.25">
      <c r="A126" s="16" t="s">
        <v>1201</v>
      </c>
      <c r="B126" s="8">
        <v>2.297678442058167E-3</v>
      </c>
    </row>
    <row r="127" spans="1:2" x14ac:dyDescent="0.25">
      <c r="A127" s="16" t="s">
        <v>819</v>
      </c>
      <c r="B127" s="8">
        <v>1.1953878163613861E-3</v>
      </c>
    </row>
    <row r="128" spans="1:2" x14ac:dyDescent="0.25">
      <c r="A128" s="16" t="s">
        <v>895</v>
      </c>
      <c r="B128" s="8">
        <v>5.1376143393960533E-4</v>
      </c>
    </row>
    <row r="129" spans="1:2" x14ac:dyDescent="0.25">
      <c r="A129" s="16" t="s">
        <v>994</v>
      </c>
      <c r="B129" s="8">
        <v>2.0806855353755079E-3</v>
      </c>
    </row>
    <row r="130" spans="1:2" x14ac:dyDescent="0.25">
      <c r="A130" s="16" t="s">
        <v>1082</v>
      </c>
      <c r="B130" s="8">
        <v>2.4695153421732709E-3</v>
      </c>
    </row>
    <row r="131" spans="1:2" x14ac:dyDescent="0.25">
      <c r="A131" s="16" t="s">
        <v>990</v>
      </c>
      <c r="B131" s="8">
        <v>1.7342831887453996E-3</v>
      </c>
    </row>
    <row r="132" spans="1:2" x14ac:dyDescent="0.25">
      <c r="A132" s="16" t="s">
        <v>1307</v>
      </c>
      <c r="B132" s="8">
        <v>4.5190206565087442E-5</v>
      </c>
    </row>
    <row r="133" spans="1:2" x14ac:dyDescent="0.25">
      <c r="A133" s="16" t="s">
        <v>954</v>
      </c>
      <c r="B133" s="8">
        <v>1.2293094274407211E-3</v>
      </c>
    </row>
    <row r="134" spans="1:2" x14ac:dyDescent="0.25">
      <c r="A134" s="16" t="s">
        <v>1351</v>
      </c>
      <c r="B134" s="8">
        <v>3.7662119193659313E-3</v>
      </c>
    </row>
    <row r="135" spans="1:2" x14ac:dyDescent="0.25">
      <c r="A135" s="16" t="s">
        <v>1328</v>
      </c>
      <c r="B135" s="8">
        <v>7.3911337122708413E-4</v>
      </c>
    </row>
    <row r="136" spans="1:2" x14ac:dyDescent="0.25">
      <c r="A136" s="16" t="s">
        <v>1060</v>
      </c>
      <c r="B136" s="8">
        <v>2.1586064416733615E-4</v>
      </c>
    </row>
    <row r="137" spans="1:2" x14ac:dyDescent="0.25">
      <c r="A137" s="16" t="s">
        <v>808</v>
      </c>
      <c r="B137" s="8">
        <v>4.0262351725600578E-4</v>
      </c>
    </row>
    <row r="138" spans="1:2" x14ac:dyDescent="0.25">
      <c r="A138" s="16" t="s">
        <v>905</v>
      </c>
      <c r="B138" s="8">
        <v>8.118980120177321E-4</v>
      </c>
    </row>
    <row r="139" spans="1:2" x14ac:dyDescent="0.25">
      <c r="A139" s="16" t="s">
        <v>1323</v>
      </c>
      <c r="B139" s="8">
        <v>1.0677606489270142E-3</v>
      </c>
    </row>
    <row r="140" spans="1:2" x14ac:dyDescent="0.25">
      <c r="A140" s="16" t="s">
        <v>1224</v>
      </c>
      <c r="B140" s="8">
        <v>6.0595608728766369E-4</v>
      </c>
    </row>
    <row r="141" spans="1:2" x14ac:dyDescent="0.25">
      <c r="A141" s="16" t="s">
        <v>1252</v>
      </c>
      <c r="B141" s="8">
        <v>7.7810070008926853E-5</v>
      </c>
    </row>
    <row r="142" spans="1:2" x14ac:dyDescent="0.25">
      <c r="A142" s="16" t="s">
        <v>1197</v>
      </c>
      <c r="B142" s="8">
        <v>1.6440275976045143E-4</v>
      </c>
    </row>
    <row r="143" spans="1:2" x14ac:dyDescent="0.25">
      <c r="A143" s="16" t="s">
        <v>812</v>
      </c>
      <c r="B143" s="8">
        <v>1.9811426253845601E-3</v>
      </c>
    </row>
    <row r="144" spans="1:2" x14ac:dyDescent="0.25">
      <c r="A144" s="16" t="s">
        <v>1253</v>
      </c>
      <c r="B144" s="8">
        <v>6.7282332015167873E-4</v>
      </c>
    </row>
    <row r="145" spans="1:2" x14ac:dyDescent="0.25">
      <c r="A145" s="16" t="s">
        <v>1298</v>
      </c>
      <c r="B145" s="8">
        <v>1.5949027837088127E-3</v>
      </c>
    </row>
    <row r="146" spans="1:2" x14ac:dyDescent="0.25">
      <c r="A146" s="16" t="s">
        <v>778</v>
      </c>
      <c r="B146" s="8">
        <v>1.6303915497532062E-3</v>
      </c>
    </row>
    <row r="147" spans="1:2" x14ac:dyDescent="0.25">
      <c r="A147" s="16" t="s">
        <v>861</v>
      </c>
      <c r="B147" s="8">
        <v>7.7591291682698485E-5</v>
      </c>
    </row>
    <row r="148" spans="1:2" x14ac:dyDescent="0.25">
      <c r="A148" s="16" t="s">
        <v>859</v>
      </c>
      <c r="B148" s="8">
        <v>8.1015938060009188E-4</v>
      </c>
    </row>
    <row r="149" spans="1:2" x14ac:dyDescent="0.25">
      <c r="A149" s="16" t="s">
        <v>844</v>
      </c>
      <c r="B149" s="8">
        <v>2.516566791675385E-3</v>
      </c>
    </row>
    <row r="150" spans="1:2" x14ac:dyDescent="0.25">
      <c r="A150" s="16" t="s">
        <v>1302</v>
      </c>
      <c r="B150" s="8">
        <v>3.071696474251096E-4</v>
      </c>
    </row>
    <row r="151" spans="1:2" x14ac:dyDescent="0.25">
      <c r="A151" s="16" t="s">
        <v>1238</v>
      </c>
      <c r="B151" s="8">
        <v>2.9401903022152668E-3</v>
      </c>
    </row>
    <row r="152" spans="1:2" x14ac:dyDescent="0.25">
      <c r="A152" s="16" t="s">
        <v>1193</v>
      </c>
      <c r="B152" s="8">
        <v>1.5118619017302919E-4</v>
      </c>
    </row>
    <row r="153" spans="1:2" x14ac:dyDescent="0.25">
      <c r="A153" s="16" t="s">
        <v>1185</v>
      </c>
      <c r="B153" s="8">
        <v>2.1544948330793337E-3</v>
      </c>
    </row>
    <row r="154" spans="1:2" x14ac:dyDescent="0.25">
      <c r="A154" s="16" t="s">
        <v>1131</v>
      </c>
      <c r="B154" s="8">
        <v>1.1989405988870581E-3</v>
      </c>
    </row>
    <row r="155" spans="1:2" x14ac:dyDescent="0.25">
      <c r="A155" s="16" t="s">
        <v>764</v>
      </c>
      <c r="B155" s="8">
        <v>8.9163112355541822E-4</v>
      </c>
    </row>
    <row r="156" spans="1:2" x14ac:dyDescent="0.25">
      <c r="A156" s="16" t="s">
        <v>964</v>
      </c>
      <c r="B156" s="8">
        <v>6.066290303423596E-5</v>
      </c>
    </row>
    <row r="157" spans="1:2" x14ac:dyDescent="0.25">
      <c r="A157" s="16" t="s">
        <v>795</v>
      </c>
      <c r="B157" s="8">
        <v>2.5188600428126475E-3</v>
      </c>
    </row>
    <row r="158" spans="1:2" x14ac:dyDescent="0.25">
      <c r="A158" s="16" t="s">
        <v>1099</v>
      </c>
      <c r="B158" s="8">
        <v>1.962662089506849E-3</v>
      </c>
    </row>
    <row r="159" spans="1:2" x14ac:dyDescent="0.25">
      <c r="A159" s="16" t="s">
        <v>956</v>
      </c>
      <c r="B159" s="8">
        <v>4.0949035883207667E-4</v>
      </c>
    </row>
    <row r="160" spans="1:2" x14ac:dyDescent="0.25">
      <c r="A160" s="16" t="s">
        <v>940</v>
      </c>
      <c r="B160" s="8">
        <v>6.0943411755881376E-4</v>
      </c>
    </row>
    <row r="161" spans="1:2" x14ac:dyDescent="0.25">
      <c r="A161" s="16" t="s">
        <v>803</v>
      </c>
      <c r="B161" s="8">
        <v>8.1205558187767734E-4</v>
      </c>
    </row>
    <row r="162" spans="1:2" x14ac:dyDescent="0.25">
      <c r="A162" s="16" t="s">
        <v>984</v>
      </c>
      <c r="B162" s="8">
        <v>1.1080872488559964E-3</v>
      </c>
    </row>
    <row r="163" spans="1:2" x14ac:dyDescent="0.25">
      <c r="A163" s="16" t="s">
        <v>770</v>
      </c>
      <c r="B163" s="8">
        <v>1.7237643380954638E-3</v>
      </c>
    </row>
    <row r="164" spans="1:2" x14ac:dyDescent="0.25">
      <c r="A164" s="16" t="s">
        <v>794</v>
      </c>
      <c r="B164" s="8">
        <v>3.0631513304458418E-3</v>
      </c>
    </row>
    <row r="165" spans="1:2" x14ac:dyDescent="0.25">
      <c r="A165" s="16" t="s">
        <v>839</v>
      </c>
      <c r="B165" s="8">
        <v>1.0984348878595703E-3</v>
      </c>
    </row>
    <row r="166" spans="1:2" x14ac:dyDescent="0.25">
      <c r="A166" s="16" t="s">
        <v>1245</v>
      </c>
      <c r="B166" s="8">
        <v>4.5733736108970443E-3</v>
      </c>
    </row>
    <row r="167" spans="1:2" x14ac:dyDescent="0.25">
      <c r="A167" s="16" t="s">
        <v>835</v>
      </c>
      <c r="B167" s="8">
        <v>5.7508385171939238E-4</v>
      </c>
    </row>
    <row r="168" spans="1:2" x14ac:dyDescent="0.25">
      <c r="A168" s="16" t="s">
        <v>820</v>
      </c>
      <c r="B168" s="8">
        <v>1.2909166421264664E-3</v>
      </c>
    </row>
    <row r="169" spans="1:2" x14ac:dyDescent="0.25">
      <c r="A169" s="16" t="s">
        <v>968</v>
      </c>
      <c r="B169" s="8">
        <v>1.2975347944723739E-3</v>
      </c>
    </row>
    <row r="170" spans="1:2" x14ac:dyDescent="0.25">
      <c r="A170" s="16" t="s">
        <v>734</v>
      </c>
      <c r="B170" s="8">
        <v>4.4248759158825222E-4</v>
      </c>
    </row>
    <row r="171" spans="1:2" x14ac:dyDescent="0.25">
      <c r="A171" s="16" t="s">
        <v>771</v>
      </c>
      <c r="B171" s="8">
        <v>1.0907004000204803E-3</v>
      </c>
    </row>
    <row r="172" spans="1:2" x14ac:dyDescent="0.25">
      <c r="A172" s="16" t="s">
        <v>1127</v>
      </c>
      <c r="B172" s="8">
        <v>1.8004635583228189E-3</v>
      </c>
    </row>
    <row r="173" spans="1:2" x14ac:dyDescent="0.25">
      <c r="A173" s="16" t="s">
        <v>1170</v>
      </c>
      <c r="B173" s="8">
        <v>6.674499906128748E-4</v>
      </c>
    </row>
    <row r="174" spans="1:2" x14ac:dyDescent="0.25">
      <c r="A174" s="16" t="s">
        <v>1137</v>
      </c>
      <c r="B174" s="8">
        <v>7.1215148965181774E-4</v>
      </c>
    </row>
    <row r="175" spans="1:2" x14ac:dyDescent="0.25">
      <c r="A175" s="16" t="s">
        <v>1023</v>
      </c>
      <c r="B175" s="8">
        <v>9.5078547135449363E-4</v>
      </c>
    </row>
    <row r="176" spans="1:2" x14ac:dyDescent="0.25">
      <c r="A176" s="16" t="s">
        <v>1210</v>
      </c>
      <c r="B176" s="8">
        <v>3.8302456907998641E-4</v>
      </c>
    </row>
    <row r="177" spans="1:2" x14ac:dyDescent="0.25">
      <c r="A177" s="16" t="s">
        <v>971</v>
      </c>
      <c r="B177" s="8">
        <v>1.2664313126547073E-2</v>
      </c>
    </row>
    <row r="178" spans="1:2" x14ac:dyDescent="0.25">
      <c r="A178" s="16" t="s">
        <v>1319</v>
      </c>
      <c r="B178" s="8">
        <v>2.2851363213000847E-3</v>
      </c>
    </row>
    <row r="179" spans="1:2" x14ac:dyDescent="0.25">
      <c r="A179" s="16" t="s">
        <v>911</v>
      </c>
      <c r="B179" s="8">
        <v>2.9272851024554192E-5</v>
      </c>
    </row>
    <row r="180" spans="1:2" x14ac:dyDescent="0.25">
      <c r="A180" s="16" t="s">
        <v>1034</v>
      </c>
      <c r="B180" s="8">
        <v>2.3257011336866164E-3</v>
      </c>
    </row>
    <row r="181" spans="1:2" x14ac:dyDescent="0.25">
      <c r="A181" s="16" t="s">
        <v>1001</v>
      </c>
      <c r="B181" s="8">
        <v>1.5997972569065527E-3</v>
      </c>
    </row>
    <row r="182" spans="1:2" x14ac:dyDescent="0.25">
      <c r="A182" s="16" t="s">
        <v>1293</v>
      </c>
      <c r="B182" s="8">
        <v>6.1531107597757179E-4</v>
      </c>
    </row>
    <row r="183" spans="1:2" x14ac:dyDescent="0.25">
      <c r="A183" s="16" t="s">
        <v>1057</v>
      </c>
      <c r="B183" s="8">
        <v>6.3944757056649977E-5</v>
      </c>
    </row>
    <row r="184" spans="1:2" x14ac:dyDescent="0.25">
      <c r="A184" s="4" t="s">
        <v>731</v>
      </c>
      <c r="B184" s="8">
        <v>0.15558710914158197</v>
      </c>
    </row>
    <row r="185" spans="1:2" x14ac:dyDescent="0.25">
      <c r="A185" s="16" t="s">
        <v>1209</v>
      </c>
      <c r="B185" s="8">
        <v>9.1773772967927936E-5</v>
      </c>
    </row>
    <row r="186" spans="1:2" x14ac:dyDescent="0.25">
      <c r="A186" s="16" t="s">
        <v>1211</v>
      </c>
      <c r="B186" s="8">
        <v>3.8111934442966074E-3</v>
      </c>
    </row>
    <row r="187" spans="1:2" x14ac:dyDescent="0.25">
      <c r="A187" s="16" t="s">
        <v>1267</v>
      </c>
      <c r="B187" s="8">
        <v>3.8583888007541972E-3</v>
      </c>
    </row>
    <row r="188" spans="1:2" x14ac:dyDescent="0.25">
      <c r="A188" s="16" t="s">
        <v>900</v>
      </c>
      <c r="B188" s="8">
        <v>1.3137609802096964E-3</v>
      </c>
    </row>
    <row r="189" spans="1:2" x14ac:dyDescent="0.25">
      <c r="A189" s="16" t="s">
        <v>879</v>
      </c>
      <c r="B189" s="8">
        <v>1.177919319259935E-3</v>
      </c>
    </row>
    <row r="190" spans="1:2" x14ac:dyDescent="0.25">
      <c r="A190" s="16" t="s">
        <v>1029</v>
      </c>
      <c r="B190" s="8">
        <v>1.8600304183594833E-3</v>
      </c>
    </row>
    <row r="191" spans="1:2" x14ac:dyDescent="0.25">
      <c r="A191" s="16" t="s">
        <v>749</v>
      </c>
      <c r="B191" s="8">
        <v>6.4473407619367149E-4</v>
      </c>
    </row>
    <row r="192" spans="1:2" x14ac:dyDescent="0.25">
      <c r="A192" s="16" t="s">
        <v>1261</v>
      </c>
      <c r="B192" s="8">
        <v>5.3217523217563793E-3</v>
      </c>
    </row>
    <row r="193" spans="1:2" x14ac:dyDescent="0.25">
      <c r="A193" s="16" t="s">
        <v>1179</v>
      </c>
      <c r="B193" s="8">
        <v>8.8850236207752215E-4</v>
      </c>
    </row>
    <row r="194" spans="1:2" x14ac:dyDescent="0.25">
      <c r="A194" s="16" t="s">
        <v>1316</v>
      </c>
      <c r="B194" s="8">
        <v>3.4767528723269372E-4</v>
      </c>
    </row>
    <row r="195" spans="1:2" x14ac:dyDescent="0.25">
      <c r="A195" s="16" t="s">
        <v>1273</v>
      </c>
      <c r="B195" s="8">
        <v>1.7805485102227884E-3</v>
      </c>
    </row>
    <row r="196" spans="1:2" x14ac:dyDescent="0.25">
      <c r="A196" s="16" t="s">
        <v>1083</v>
      </c>
      <c r="B196" s="8">
        <v>1.11267967966354E-3</v>
      </c>
    </row>
    <row r="197" spans="1:2" x14ac:dyDescent="0.25">
      <c r="A197" s="16" t="s">
        <v>853</v>
      </c>
      <c r="B197" s="8">
        <v>5.3914051085935489E-5</v>
      </c>
    </row>
    <row r="198" spans="1:2" x14ac:dyDescent="0.25">
      <c r="A198" s="16" t="s">
        <v>1013</v>
      </c>
      <c r="B198" s="8">
        <v>8.0996240963696032E-4</v>
      </c>
    </row>
    <row r="199" spans="1:2" x14ac:dyDescent="0.25">
      <c r="A199" s="16" t="s">
        <v>980</v>
      </c>
      <c r="B199" s="8">
        <v>8.887697352795371E-4</v>
      </c>
    </row>
    <row r="200" spans="1:2" x14ac:dyDescent="0.25">
      <c r="A200" s="16" t="s">
        <v>1118</v>
      </c>
      <c r="B200" s="8">
        <v>2.0063274428266794E-3</v>
      </c>
    </row>
    <row r="201" spans="1:2" x14ac:dyDescent="0.25">
      <c r="A201" s="16" t="s">
        <v>973</v>
      </c>
      <c r="B201" s="8">
        <v>3.4766579794272674E-4</v>
      </c>
    </row>
    <row r="202" spans="1:2" x14ac:dyDescent="0.25">
      <c r="A202" s="16" t="s">
        <v>1104</v>
      </c>
      <c r="B202" s="8">
        <v>3.758299923792126E-4</v>
      </c>
    </row>
    <row r="203" spans="1:2" x14ac:dyDescent="0.25">
      <c r="A203" s="16" t="s">
        <v>1363</v>
      </c>
      <c r="B203" s="8">
        <v>2.4203165125432532E-5</v>
      </c>
    </row>
    <row r="204" spans="1:2" x14ac:dyDescent="0.25">
      <c r="A204" s="16" t="s">
        <v>1215</v>
      </c>
      <c r="B204" s="8">
        <v>3.2880714350249363E-3</v>
      </c>
    </row>
    <row r="205" spans="1:2" x14ac:dyDescent="0.25">
      <c r="A205" s="16" t="s">
        <v>880</v>
      </c>
      <c r="B205" s="8">
        <v>3.2396913321676896E-4</v>
      </c>
    </row>
    <row r="206" spans="1:2" x14ac:dyDescent="0.25">
      <c r="A206" s="16" t="s">
        <v>753</v>
      </c>
      <c r="B206" s="8">
        <v>3.5701864908732487E-3</v>
      </c>
    </row>
    <row r="207" spans="1:2" x14ac:dyDescent="0.25">
      <c r="A207" s="16" t="s">
        <v>798</v>
      </c>
      <c r="B207" s="8">
        <v>2.391806269998169E-3</v>
      </c>
    </row>
    <row r="208" spans="1:2" x14ac:dyDescent="0.25">
      <c r="A208" s="16" t="s">
        <v>998</v>
      </c>
      <c r="B208" s="8">
        <v>3.6498553996717632E-3</v>
      </c>
    </row>
    <row r="209" spans="1:2" x14ac:dyDescent="0.25">
      <c r="A209" s="16" t="s">
        <v>1241</v>
      </c>
      <c r="B209" s="8">
        <v>3.5654619483449425E-4</v>
      </c>
    </row>
    <row r="210" spans="1:2" x14ac:dyDescent="0.25">
      <c r="A210" s="16" t="s">
        <v>1305</v>
      </c>
      <c r="B210" s="8">
        <v>1.7403330739250474E-3</v>
      </c>
    </row>
    <row r="211" spans="1:2" x14ac:dyDescent="0.25">
      <c r="A211" s="16" t="s">
        <v>1079</v>
      </c>
      <c r="B211" s="8">
        <v>1.2400170582216666E-3</v>
      </c>
    </row>
    <row r="212" spans="1:2" x14ac:dyDescent="0.25">
      <c r="A212" s="16" t="s">
        <v>833</v>
      </c>
      <c r="B212" s="8">
        <v>2.3189393689933154E-3</v>
      </c>
    </row>
    <row r="213" spans="1:2" x14ac:dyDescent="0.25">
      <c r="A213" s="16" t="s">
        <v>787</v>
      </c>
      <c r="B213" s="8">
        <v>2.2903737801372202E-4</v>
      </c>
    </row>
    <row r="214" spans="1:2" x14ac:dyDescent="0.25">
      <c r="A214" s="16" t="s">
        <v>1096</v>
      </c>
      <c r="B214" s="8">
        <v>7.5029323894193539E-3</v>
      </c>
    </row>
    <row r="215" spans="1:2" x14ac:dyDescent="0.25">
      <c r="A215" s="16" t="s">
        <v>1248</v>
      </c>
      <c r="B215" s="8">
        <v>9.8744991277931074E-4</v>
      </c>
    </row>
    <row r="216" spans="1:2" x14ac:dyDescent="0.25">
      <c r="A216" s="16" t="s">
        <v>1315</v>
      </c>
      <c r="B216" s="8">
        <v>3.6883587783827654E-3</v>
      </c>
    </row>
    <row r="217" spans="1:2" x14ac:dyDescent="0.25">
      <c r="A217" s="16" t="s">
        <v>805</v>
      </c>
      <c r="B217" s="8">
        <v>5.8131405614051876E-4</v>
      </c>
    </row>
    <row r="218" spans="1:2" x14ac:dyDescent="0.25">
      <c r="A218" s="16" t="s">
        <v>1043</v>
      </c>
      <c r="B218" s="8">
        <v>8.9539360338595955E-4</v>
      </c>
    </row>
    <row r="219" spans="1:2" x14ac:dyDescent="0.25">
      <c r="A219" s="16" t="s">
        <v>1038</v>
      </c>
      <c r="B219" s="8">
        <v>5.3945882398112198E-4</v>
      </c>
    </row>
    <row r="220" spans="1:2" x14ac:dyDescent="0.25">
      <c r="A220" s="16" t="s">
        <v>1276</v>
      </c>
      <c r="B220" s="8">
        <v>1.2833699560285809E-3</v>
      </c>
    </row>
    <row r="221" spans="1:2" x14ac:dyDescent="0.25">
      <c r="A221" s="16" t="s">
        <v>976</v>
      </c>
      <c r="B221" s="8">
        <v>3.0991010490252946E-3</v>
      </c>
    </row>
    <row r="222" spans="1:2" x14ac:dyDescent="0.25">
      <c r="A222" s="16" t="s">
        <v>1191</v>
      </c>
      <c r="B222" s="8">
        <v>6.9499001418087136E-4</v>
      </c>
    </row>
    <row r="223" spans="1:2" x14ac:dyDescent="0.25">
      <c r="A223" s="16" t="s">
        <v>1337</v>
      </c>
      <c r="B223" s="8">
        <v>6.4301243202355548E-4</v>
      </c>
    </row>
    <row r="224" spans="1:2" x14ac:dyDescent="0.25">
      <c r="A224" s="16" t="s">
        <v>757</v>
      </c>
      <c r="B224" s="8">
        <v>1.839047746030435E-3</v>
      </c>
    </row>
    <row r="225" spans="1:2" x14ac:dyDescent="0.25">
      <c r="A225" s="16" t="s">
        <v>989</v>
      </c>
      <c r="B225" s="8">
        <v>2.1969402634307396E-3</v>
      </c>
    </row>
    <row r="226" spans="1:2" x14ac:dyDescent="0.25">
      <c r="A226" s="16" t="s">
        <v>1242</v>
      </c>
      <c r="B226" s="8">
        <v>7.5447207710039742E-4</v>
      </c>
    </row>
    <row r="227" spans="1:2" x14ac:dyDescent="0.25">
      <c r="A227" s="16" t="s">
        <v>838</v>
      </c>
      <c r="B227" s="8">
        <v>1.1216616117760976E-3</v>
      </c>
    </row>
    <row r="228" spans="1:2" x14ac:dyDescent="0.25">
      <c r="A228" s="16" t="s">
        <v>924</v>
      </c>
      <c r="B228" s="8">
        <v>1.7770118811310247E-3</v>
      </c>
    </row>
    <row r="229" spans="1:2" x14ac:dyDescent="0.25">
      <c r="A229" s="16" t="s">
        <v>1297</v>
      </c>
      <c r="B229" s="8">
        <v>3.8457558243183151E-4</v>
      </c>
    </row>
    <row r="230" spans="1:2" x14ac:dyDescent="0.25">
      <c r="A230" s="16" t="s">
        <v>1121</v>
      </c>
      <c r="B230" s="8">
        <v>5.9164335585922415E-3</v>
      </c>
    </row>
    <row r="231" spans="1:2" x14ac:dyDescent="0.25">
      <c r="A231" s="16" t="s">
        <v>985</v>
      </c>
      <c r="B231" s="8">
        <v>1.5870049666036206E-3</v>
      </c>
    </row>
    <row r="232" spans="1:2" x14ac:dyDescent="0.25">
      <c r="A232" s="16" t="s">
        <v>885</v>
      </c>
      <c r="B232" s="8">
        <v>1.9615615810145448E-3</v>
      </c>
    </row>
    <row r="233" spans="1:2" x14ac:dyDescent="0.25">
      <c r="A233" s="16" t="s">
        <v>1254</v>
      </c>
      <c r="B233" s="8">
        <v>5.8369660080531491E-3</v>
      </c>
    </row>
    <row r="234" spans="1:2" x14ac:dyDescent="0.25">
      <c r="A234" s="16" t="s">
        <v>1327</v>
      </c>
      <c r="B234" s="8">
        <v>1.3557981801428367E-3</v>
      </c>
    </row>
    <row r="235" spans="1:2" x14ac:dyDescent="0.25">
      <c r="A235" s="16" t="s">
        <v>1102</v>
      </c>
      <c r="B235" s="8">
        <v>1.2534106327096396E-3</v>
      </c>
    </row>
    <row r="236" spans="1:2" x14ac:dyDescent="0.25">
      <c r="A236" s="16" t="s">
        <v>790</v>
      </c>
      <c r="B236" s="8">
        <v>2.696908760712961E-3</v>
      </c>
    </row>
    <row r="237" spans="1:2" x14ac:dyDescent="0.25">
      <c r="A237" s="16" t="s">
        <v>1143</v>
      </c>
      <c r="B237" s="8">
        <v>4.8410203074152503E-4</v>
      </c>
    </row>
    <row r="238" spans="1:2" x14ac:dyDescent="0.25">
      <c r="A238" s="16" t="s">
        <v>1009</v>
      </c>
      <c r="B238" s="8">
        <v>7.7901946812888097E-4</v>
      </c>
    </row>
    <row r="239" spans="1:2" x14ac:dyDescent="0.25">
      <c r="A239" s="16" t="s">
        <v>907</v>
      </c>
      <c r="B239" s="8">
        <v>2.8693542965759055E-3</v>
      </c>
    </row>
    <row r="240" spans="1:2" x14ac:dyDescent="0.25">
      <c r="A240" s="16" t="s">
        <v>836</v>
      </c>
      <c r="B240" s="8">
        <v>1.2429742323143078E-3</v>
      </c>
    </row>
    <row r="241" spans="1:2" x14ac:dyDescent="0.25">
      <c r="A241" s="16" t="s">
        <v>1122</v>
      </c>
      <c r="B241" s="8">
        <v>3.9504077803937819E-5</v>
      </c>
    </row>
    <row r="242" spans="1:2" x14ac:dyDescent="0.25">
      <c r="A242" s="16" t="s">
        <v>1268</v>
      </c>
      <c r="B242" s="8">
        <v>1.378049928616598E-3</v>
      </c>
    </row>
    <row r="243" spans="1:2" x14ac:dyDescent="0.25">
      <c r="A243" s="16" t="s">
        <v>1299</v>
      </c>
      <c r="B243" s="8">
        <v>4.016638219705969E-3</v>
      </c>
    </row>
    <row r="244" spans="1:2" x14ac:dyDescent="0.25">
      <c r="A244" s="16" t="s">
        <v>1159</v>
      </c>
      <c r="B244" s="8">
        <v>2.7674623999630449E-3</v>
      </c>
    </row>
    <row r="245" spans="1:2" x14ac:dyDescent="0.25">
      <c r="A245" s="16" t="s">
        <v>786</v>
      </c>
      <c r="B245" s="8">
        <v>5.2609365553172444E-4</v>
      </c>
    </row>
    <row r="246" spans="1:2" x14ac:dyDescent="0.25">
      <c r="A246" s="16" t="s">
        <v>926</v>
      </c>
      <c r="B246" s="8">
        <v>2.2163434136202522E-3</v>
      </c>
    </row>
    <row r="247" spans="1:2" x14ac:dyDescent="0.25">
      <c r="A247" s="16" t="s">
        <v>1141</v>
      </c>
      <c r="B247" s="8">
        <v>4.2551901712433436E-4</v>
      </c>
    </row>
    <row r="248" spans="1:2" x14ac:dyDescent="0.25">
      <c r="A248" s="16" t="s">
        <v>851</v>
      </c>
      <c r="B248" s="8">
        <v>5.9211977868296913E-3</v>
      </c>
    </row>
    <row r="249" spans="1:2" x14ac:dyDescent="0.25">
      <c r="A249" s="16" t="s">
        <v>1130</v>
      </c>
      <c r="B249" s="8">
        <v>1.695016887851877E-3</v>
      </c>
    </row>
    <row r="250" spans="1:2" x14ac:dyDescent="0.25">
      <c r="A250" s="16" t="s">
        <v>1158</v>
      </c>
      <c r="B250" s="8">
        <v>1.3972955107647337E-3</v>
      </c>
    </row>
    <row r="251" spans="1:2" x14ac:dyDescent="0.25">
      <c r="A251" s="16" t="s">
        <v>806</v>
      </c>
      <c r="B251" s="8">
        <v>1.8341747328492256E-3</v>
      </c>
    </row>
    <row r="252" spans="1:2" x14ac:dyDescent="0.25">
      <c r="A252" s="16" t="s">
        <v>739</v>
      </c>
      <c r="B252" s="8">
        <v>3.7660369503527167E-4</v>
      </c>
    </row>
    <row r="253" spans="1:2" x14ac:dyDescent="0.25">
      <c r="A253" s="16" t="s">
        <v>1332</v>
      </c>
      <c r="B253" s="8">
        <v>3.0859417170600316E-3</v>
      </c>
    </row>
    <row r="254" spans="1:2" x14ac:dyDescent="0.25">
      <c r="A254" s="16" t="s">
        <v>1164</v>
      </c>
      <c r="B254" s="8">
        <v>5.2790904144770683E-3</v>
      </c>
    </row>
    <row r="255" spans="1:2" x14ac:dyDescent="0.25">
      <c r="A255" s="16" t="s">
        <v>1155</v>
      </c>
      <c r="B255" s="8">
        <v>9.2858778200902246E-3</v>
      </c>
    </row>
    <row r="256" spans="1:2" x14ac:dyDescent="0.25">
      <c r="A256" s="16" t="s">
        <v>1017</v>
      </c>
      <c r="B256" s="8">
        <v>1.0635130714286233E-3</v>
      </c>
    </row>
    <row r="257" spans="1:2" x14ac:dyDescent="0.25">
      <c r="A257" s="16" t="s">
        <v>1063</v>
      </c>
      <c r="B257" s="8">
        <v>2.5238485214486733E-3</v>
      </c>
    </row>
    <row r="258" spans="1:2" x14ac:dyDescent="0.25">
      <c r="A258" s="16" t="s">
        <v>1120</v>
      </c>
      <c r="B258" s="8">
        <v>1.7979606389777814E-3</v>
      </c>
    </row>
    <row r="259" spans="1:2" x14ac:dyDescent="0.25">
      <c r="A259" s="16" t="s">
        <v>845</v>
      </c>
      <c r="B259" s="8">
        <v>2.7416442133334157E-3</v>
      </c>
    </row>
    <row r="260" spans="1:2" x14ac:dyDescent="0.25">
      <c r="A260" s="16" t="s">
        <v>958</v>
      </c>
      <c r="B260" s="8">
        <v>1.4085291533656326E-3</v>
      </c>
    </row>
    <row r="261" spans="1:2" x14ac:dyDescent="0.25">
      <c r="A261" s="16" t="s">
        <v>866</v>
      </c>
      <c r="B261" s="8">
        <v>7.5806020350313119E-4</v>
      </c>
    </row>
    <row r="262" spans="1:2" x14ac:dyDescent="0.25">
      <c r="A262" s="16" t="s">
        <v>754</v>
      </c>
      <c r="B262" s="8">
        <v>2.1624879504435202E-3</v>
      </c>
    </row>
    <row r="263" spans="1:2" x14ac:dyDescent="0.25">
      <c r="A263" s="16" t="s">
        <v>1136</v>
      </c>
      <c r="B263" s="8">
        <v>4.7741275236650658E-4</v>
      </c>
    </row>
    <row r="264" spans="1:2" x14ac:dyDescent="0.25">
      <c r="A264" s="16" t="s">
        <v>1018</v>
      </c>
      <c r="B264" s="8">
        <v>1.4098887696665252E-3</v>
      </c>
    </row>
    <row r="265" spans="1:2" x14ac:dyDescent="0.25">
      <c r="A265" s="16" t="s">
        <v>767</v>
      </c>
      <c r="B265" s="8">
        <v>1.2019373268426319E-3</v>
      </c>
    </row>
    <row r="266" spans="1:2" x14ac:dyDescent="0.25">
      <c r="A266" s="4" t="s">
        <v>732</v>
      </c>
      <c r="B266" s="8">
        <v>0.14280530253910026</v>
      </c>
    </row>
    <row r="267" spans="1:2" x14ac:dyDescent="0.25">
      <c r="A267" s="16" t="s">
        <v>1073</v>
      </c>
      <c r="B267" s="8">
        <v>2.3738331729012325E-3</v>
      </c>
    </row>
    <row r="268" spans="1:2" x14ac:dyDescent="0.25">
      <c r="A268" s="16" t="s">
        <v>1300</v>
      </c>
      <c r="B268" s="8">
        <v>2.280437566981125E-3</v>
      </c>
    </row>
    <row r="269" spans="1:2" x14ac:dyDescent="0.25">
      <c r="A269" s="16" t="s">
        <v>1048</v>
      </c>
      <c r="B269" s="8">
        <v>4.5759212615692794E-4</v>
      </c>
    </row>
    <row r="270" spans="1:2" x14ac:dyDescent="0.25">
      <c r="A270" s="16" t="s">
        <v>1005</v>
      </c>
      <c r="B270" s="8">
        <v>6.4746933402029148E-4</v>
      </c>
    </row>
    <row r="271" spans="1:2" x14ac:dyDescent="0.25">
      <c r="A271" s="16" t="s">
        <v>1325</v>
      </c>
      <c r="B271" s="8">
        <v>5.2062427466517268E-4</v>
      </c>
    </row>
    <row r="272" spans="1:2" x14ac:dyDescent="0.25">
      <c r="A272" s="16" t="s">
        <v>950</v>
      </c>
      <c r="B272" s="8">
        <v>7.0369138119616328E-4</v>
      </c>
    </row>
    <row r="273" spans="1:2" x14ac:dyDescent="0.25">
      <c r="A273" s="16" t="s">
        <v>920</v>
      </c>
      <c r="B273" s="8">
        <v>4.3936125971775304E-4</v>
      </c>
    </row>
    <row r="274" spans="1:2" x14ac:dyDescent="0.25">
      <c r="A274" s="16" t="s">
        <v>939</v>
      </c>
      <c r="B274" s="8">
        <v>2.3761148761290867E-3</v>
      </c>
    </row>
    <row r="275" spans="1:2" x14ac:dyDescent="0.25">
      <c r="A275" s="16" t="s">
        <v>830</v>
      </c>
      <c r="B275" s="8">
        <v>1.3367165237512413E-5</v>
      </c>
    </row>
    <row r="276" spans="1:2" x14ac:dyDescent="0.25">
      <c r="A276" s="16" t="s">
        <v>1138</v>
      </c>
      <c r="B276" s="8">
        <v>1.2218324870785229E-3</v>
      </c>
    </row>
    <row r="277" spans="1:2" x14ac:dyDescent="0.25">
      <c r="A277" s="16" t="s">
        <v>901</v>
      </c>
      <c r="B277" s="8">
        <v>1.1287840104059351E-3</v>
      </c>
    </row>
    <row r="278" spans="1:2" x14ac:dyDescent="0.25">
      <c r="A278" s="16" t="s">
        <v>874</v>
      </c>
      <c r="B278" s="8">
        <v>7.9475922246028206E-3</v>
      </c>
    </row>
    <row r="279" spans="1:2" x14ac:dyDescent="0.25">
      <c r="A279" s="16" t="s">
        <v>802</v>
      </c>
      <c r="B279" s="8">
        <v>7.8850720685706515E-4</v>
      </c>
    </row>
    <row r="280" spans="1:2" x14ac:dyDescent="0.25">
      <c r="A280" s="16" t="s">
        <v>1206</v>
      </c>
      <c r="B280" s="8">
        <v>7.5745659518766163E-4</v>
      </c>
    </row>
    <row r="281" spans="1:2" x14ac:dyDescent="0.25">
      <c r="A281" s="16" t="s">
        <v>1243</v>
      </c>
      <c r="B281" s="8">
        <v>8.3947691657834959E-4</v>
      </c>
    </row>
    <row r="282" spans="1:2" x14ac:dyDescent="0.25">
      <c r="A282" s="16" t="s">
        <v>951</v>
      </c>
      <c r="B282" s="8">
        <v>2.0292011144183741E-4</v>
      </c>
    </row>
    <row r="283" spans="1:2" x14ac:dyDescent="0.25">
      <c r="A283" s="16" t="s">
        <v>849</v>
      </c>
      <c r="B283" s="8">
        <v>2.2298382678201537E-3</v>
      </c>
    </row>
    <row r="284" spans="1:2" x14ac:dyDescent="0.25">
      <c r="A284" s="16" t="s">
        <v>981</v>
      </c>
      <c r="B284" s="8">
        <v>5.522143719278842E-5</v>
      </c>
    </row>
    <row r="285" spans="1:2" x14ac:dyDescent="0.25">
      <c r="A285" s="16" t="s">
        <v>1331</v>
      </c>
      <c r="B285" s="8">
        <v>5.4212817779782237E-4</v>
      </c>
    </row>
    <row r="286" spans="1:2" x14ac:dyDescent="0.25">
      <c r="A286" s="16" t="s">
        <v>823</v>
      </c>
      <c r="B286" s="8">
        <v>5.6778891913944235E-5</v>
      </c>
    </row>
    <row r="287" spans="1:2" x14ac:dyDescent="0.25">
      <c r="A287" s="16" t="s">
        <v>1062</v>
      </c>
      <c r="B287" s="8">
        <v>5.6646063677226628E-4</v>
      </c>
    </row>
    <row r="288" spans="1:2" x14ac:dyDescent="0.25">
      <c r="A288" s="16" t="s">
        <v>983</v>
      </c>
      <c r="B288" s="8">
        <v>1.0741923670951618E-3</v>
      </c>
    </row>
    <row r="289" spans="1:2" x14ac:dyDescent="0.25">
      <c r="A289" s="16" t="s">
        <v>869</v>
      </c>
      <c r="B289" s="8">
        <v>2.488760049590001E-3</v>
      </c>
    </row>
    <row r="290" spans="1:2" x14ac:dyDescent="0.25">
      <c r="A290" s="16" t="s">
        <v>1007</v>
      </c>
      <c r="B290" s="8">
        <v>2.6857269336725042E-3</v>
      </c>
    </row>
    <row r="291" spans="1:2" x14ac:dyDescent="0.25">
      <c r="A291" s="16" t="s">
        <v>1161</v>
      </c>
      <c r="B291" s="8">
        <v>1.2230545432276932E-3</v>
      </c>
    </row>
    <row r="292" spans="1:2" x14ac:dyDescent="0.25">
      <c r="A292" s="16" t="s">
        <v>817</v>
      </c>
      <c r="B292" s="8">
        <v>4.7720303505738442E-5</v>
      </c>
    </row>
    <row r="293" spans="1:2" x14ac:dyDescent="0.25">
      <c r="A293" s="16" t="s">
        <v>1132</v>
      </c>
      <c r="B293" s="8">
        <v>1.1795236730418343E-3</v>
      </c>
    </row>
    <row r="294" spans="1:2" x14ac:dyDescent="0.25">
      <c r="A294" s="16" t="s">
        <v>855</v>
      </c>
      <c r="B294" s="8">
        <v>2.0898393167471715E-3</v>
      </c>
    </row>
    <row r="295" spans="1:2" x14ac:dyDescent="0.25">
      <c r="A295" s="16" t="s">
        <v>1359</v>
      </c>
      <c r="B295" s="8">
        <v>4.6341479303435308E-4</v>
      </c>
    </row>
    <row r="296" spans="1:2" x14ac:dyDescent="0.25">
      <c r="A296" s="16" t="s">
        <v>1152</v>
      </c>
      <c r="B296" s="8">
        <v>8.6466441095316864E-4</v>
      </c>
    </row>
    <row r="297" spans="1:2" x14ac:dyDescent="0.25">
      <c r="A297" s="16" t="s">
        <v>1349</v>
      </c>
      <c r="B297" s="8">
        <v>1.8383943489490176E-3</v>
      </c>
    </row>
    <row r="298" spans="1:2" x14ac:dyDescent="0.25">
      <c r="A298" s="16" t="s">
        <v>923</v>
      </c>
      <c r="B298" s="8">
        <v>7.8113963701765502E-4</v>
      </c>
    </row>
    <row r="299" spans="1:2" x14ac:dyDescent="0.25">
      <c r="A299" s="16" t="s">
        <v>1085</v>
      </c>
      <c r="B299" s="8">
        <v>1.4991575837649432E-3</v>
      </c>
    </row>
    <row r="300" spans="1:2" x14ac:dyDescent="0.25">
      <c r="A300" s="16" t="s">
        <v>1283</v>
      </c>
      <c r="B300" s="8">
        <v>1.6792697803209638E-4</v>
      </c>
    </row>
    <row r="301" spans="1:2" x14ac:dyDescent="0.25">
      <c r="A301" s="16" t="s">
        <v>1031</v>
      </c>
      <c r="B301" s="8">
        <v>2.9014088925820785E-4</v>
      </c>
    </row>
    <row r="302" spans="1:2" x14ac:dyDescent="0.25">
      <c r="A302" s="16" t="s">
        <v>785</v>
      </c>
      <c r="B302" s="8">
        <v>5.4514497820222938E-5</v>
      </c>
    </row>
    <row r="303" spans="1:2" x14ac:dyDescent="0.25">
      <c r="A303" s="16" t="s">
        <v>986</v>
      </c>
      <c r="B303" s="8">
        <v>1.6084894792505911E-3</v>
      </c>
    </row>
    <row r="304" spans="1:2" x14ac:dyDescent="0.25">
      <c r="A304" s="16" t="s">
        <v>1106</v>
      </c>
      <c r="B304" s="8">
        <v>2.9351989429668782E-3</v>
      </c>
    </row>
    <row r="305" spans="1:2" x14ac:dyDescent="0.25">
      <c r="A305" s="16" t="s">
        <v>1166</v>
      </c>
      <c r="B305" s="8">
        <v>1.1791559966991272E-3</v>
      </c>
    </row>
    <row r="306" spans="1:2" x14ac:dyDescent="0.25">
      <c r="A306" s="16" t="s">
        <v>1233</v>
      </c>
      <c r="B306" s="8">
        <v>1.8488271649460114E-3</v>
      </c>
    </row>
    <row r="307" spans="1:2" x14ac:dyDescent="0.25">
      <c r="A307" s="16" t="s">
        <v>789</v>
      </c>
      <c r="B307" s="8">
        <v>2.8806846797419803E-3</v>
      </c>
    </row>
    <row r="308" spans="1:2" x14ac:dyDescent="0.25">
      <c r="A308" s="16" t="s">
        <v>938</v>
      </c>
      <c r="B308" s="8">
        <v>2.3235651086998695E-3</v>
      </c>
    </row>
    <row r="309" spans="1:2" x14ac:dyDescent="0.25">
      <c r="A309" s="16" t="s">
        <v>1190</v>
      </c>
      <c r="B309" s="8">
        <v>7.1421483918916761E-4</v>
      </c>
    </row>
    <row r="310" spans="1:2" x14ac:dyDescent="0.25">
      <c r="A310" s="16" t="s">
        <v>864</v>
      </c>
      <c r="B310" s="8">
        <v>7.0050019281114894E-4</v>
      </c>
    </row>
    <row r="311" spans="1:2" x14ac:dyDescent="0.25">
      <c r="A311" s="16" t="s">
        <v>797</v>
      </c>
      <c r="B311" s="8">
        <v>6.6073880076171791E-3</v>
      </c>
    </row>
    <row r="312" spans="1:2" x14ac:dyDescent="0.25">
      <c r="A312" s="16" t="s">
        <v>967</v>
      </c>
      <c r="B312" s="8">
        <v>4.8018005518709152E-4</v>
      </c>
    </row>
    <row r="313" spans="1:2" x14ac:dyDescent="0.25">
      <c r="A313" s="16" t="s">
        <v>912</v>
      </c>
      <c r="B313" s="8">
        <v>6.454599032177504E-4</v>
      </c>
    </row>
    <row r="314" spans="1:2" x14ac:dyDescent="0.25">
      <c r="A314" s="16" t="s">
        <v>1039</v>
      </c>
      <c r="B314" s="8">
        <v>1.4927816274506883E-4</v>
      </c>
    </row>
    <row r="315" spans="1:2" x14ac:dyDescent="0.25">
      <c r="A315" s="16" t="s">
        <v>1181</v>
      </c>
      <c r="B315" s="8">
        <v>4.1415334427453649E-3</v>
      </c>
    </row>
    <row r="316" spans="1:2" x14ac:dyDescent="0.25">
      <c r="A316" s="16" t="s">
        <v>1014</v>
      </c>
      <c r="B316" s="8">
        <v>1.5858845393315142E-3</v>
      </c>
    </row>
    <row r="317" spans="1:2" x14ac:dyDescent="0.25">
      <c r="A317" s="16" t="s">
        <v>1032</v>
      </c>
      <c r="B317" s="8">
        <v>6.0849990078055246E-6</v>
      </c>
    </row>
    <row r="318" spans="1:2" x14ac:dyDescent="0.25">
      <c r="A318" s="16" t="s">
        <v>917</v>
      </c>
      <c r="B318" s="8">
        <v>7.9097513058089112E-4</v>
      </c>
    </row>
    <row r="319" spans="1:2" x14ac:dyDescent="0.25">
      <c r="A319" s="16" t="s">
        <v>1097</v>
      </c>
      <c r="B319" s="8">
        <v>6.663192247793534E-4</v>
      </c>
    </row>
    <row r="320" spans="1:2" x14ac:dyDescent="0.25">
      <c r="A320" s="16" t="s">
        <v>1123</v>
      </c>
      <c r="B320" s="8">
        <v>1.4678145590250778E-3</v>
      </c>
    </row>
    <row r="321" spans="1:2" x14ac:dyDescent="0.25">
      <c r="A321" s="16" t="s">
        <v>1295</v>
      </c>
      <c r="B321" s="8">
        <v>7.7473700685123622E-4</v>
      </c>
    </row>
    <row r="322" spans="1:2" x14ac:dyDescent="0.25">
      <c r="A322" s="16" t="s">
        <v>1306</v>
      </c>
      <c r="B322" s="8">
        <v>1.3154570080251794E-3</v>
      </c>
    </row>
    <row r="323" spans="1:2" x14ac:dyDescent="0.25">
      <c r="A323" s="16" t="s">
        <v>1256</v>
      </c>
      <c r="B323" s="8">
        <v>1.4658819272758052E-3</v>
      </c>
    </row>
    <row r="324" spans="1:2" x14ac:dyDescent="0.25">
      <c r="A324" s="16" t="s">
        <v>1281</v>
      </c>
      <c r="B324" s="8">
        <v>9.9453141817058073E-4</v>
      </c>
    </row>
    <row r="325" spans="1:2" x14ac:dyDescent="0.25">
      <c r="A325" s="16" t="s">
        <v>1044</v>
      </c>
      <c r="B325" s="8">
        <v>2.8005293202607189E-3</v>
      </c>
    </row>
    <row r="326" spans="1:2" x14ac:dyDescent="0.25">
      <c r="A326" s="16" t="s">
        <v>929</v>
      </c>
      <c r="B326" s="8">
        <v>2.8362072101455514E-3</v>
      </c>
    </row>
    <row r="327" spans="1:2" x14ac:dyDescent="0.25">
      <c r="A327" s="16" t="s">
        <v>899</v>
      </c>
      <c r="B327" s="8">
        <v>7.7869044654888435E-3</v>
      </c>
    </row>
    <row r="328" spans="1:2" x14ac:dyDescent="0.25">
      <c r="A328" s="16" t="s">
        <v>801</v>
      </c>
      <c r="B328" s="8">
        <v>1.2991758478740852E-3</v>
      </c>
    </row>
    <row r="329" spans="1:2" x14ac:dyDescent="0.25">
      <c r="A329" s="16" t="s">
        <v>1187</v>
      </c>
      <c r="B329" s="8">
        <v>2.103392445153225E-3</v>
      </c>
    </row>
    <row r="330" spans="1:2" x14ac:dyDescent="0.25">
      <c r="A330" s="16" t="s">
        <v>742</v>
      </c>
      <c r="B330" s="8">
        <v>1.3379325404347196E-3</v>
      </c>
    </row>
    <row r="331" spans="1:2" x14ac:dyDescent="0.25">
      <c r="A331" s="16" t="s">
        <v>909</v>
      </c>
      <c r="B331" s="8">
        <v>8.4304512420128094E-3</v>
      </c>
    </row>
    <row r="332" spans="1:2" x14ac:dyDescent="0.25">
      <c r="A332" s="16" t="s">
        <v>1290</v>
      </c>
      <c r="B332" s="8">
        <v>9.5654665698037403E-4</v>
      </c>
    </row>
    <row r="333" spans="1:2" x14ac:dyDescent="0.25">
      <c r="A333" s="16" t="s">
        <v>1180</v>
      </c>
      <c r="B333" s="8">
        <v>5.0604641660320431E-4</v>
      </c>
    </row>
    <row r="334" spans="1:2" x14ac:dyDescent="0.25">
      <c r="A334" s="16" t="s">
        <v>1314</v>
      </c>
      <c r="B334" s="8">
        <v>1.6379914780784518E-4</v>
      </c>
    </row>
    <row r="335" spans="1:2" x14ac:dyDescent="0.25">
      <c r="A335" s="16" t="s">
        <v>925</v>
      </c>
      <c r="B335" s="8">
        <v>7.9683166374854432E-4</v>
      </c>
    </row>
    <row r="336" spans="1:2" x14ac:dyDescent="0.25">
      <c r="A336" s="16" t="s">
        <v>902</v>
      </c>
      <c r="B336" s="8">
        <v>6.2052176548770151E-4</v>
      </c>
    </row>
    <row r="337" spans="1:2" x14ac:dyDescent="0.25">
      <c r="A337" s="16" t="s">
        <v>1117</v>
      </c>
      <c r="B337" s="8">
        <v>1.3873419657424012E-3</v>
      </c>
    </row>
    <row r="338" spans="1:2" x14ac:dyDescent="0.25">
      <c r="A338" s="16" t="s">
        <v>992</v>
      </c>
      <c r="B338" s="8">
        <v>3.9784475592910177E-4</v>
      </c>
    </row>
    <row r="339" spans="1:2" x14ac:dyDescent="0.25">
      <c r="A339" s="16" t="s">
        <v>945</v>
      </c>
      <c r="B339" s="8">
        <v>1.6138041545024447E-4</v>
      </c>
    </row>
    <row r="340" spans="1:2" x14ac:dyDescent="0.25">
      <c r="A340" s="16" t="s">
        <v>922</v>
      </c>
      <c r="B340" s="8">
        <v>2.552559912208529E-3</v>
      </c>
    </row>
    <row r="341" spans="1:2" x14ac:dyDescent="0.25">
      <c r="A341" s="16" t="s">
        <v>813</v>
      </c>
      <c r="B341" s="8">
        <v>4.4347045325293145E-4</v>
      </c>
    </row>
    <row r="342" spans="1:2" x14ac:dyDescent="0.25">
      <c r="A342" s="16" t="s">
        <v>1344</v>
      </c>
      <c r="B342" s="8">
        <v>8.4164619045134917E-4</v>
      </c>
    </row>
    <row r="343" spans="1:2" x14ac:dyDescent="0.25">
      <c r="A343" s="16" t="s">
        <v>1278</v>
      </c>
      <c r="B343" s="8">
        <v>4.3886962429646721E-4</v>
      </c>
    </row>
    <row r="344" spans="1:2" x14ac:dyDescent="0.25">
      <c r="A344" s="16" t="s">
        <v>740</v>
      </c>
      <c r="B344" s="8">
        <v>2.6246030671917974E-4</v>
      </c>
    </row>
    <row r="345" spans="1:2" x14ac:dyDescent="0.25">
      <c r="A345" s="16" t="s">
        <v>1006</v>
      </c>
      <c r="B345" s="8">
        <v>3.1490427274797153E-3</v>
      </c>
    </row>
    <row r="346" spans="1:2" x14ac:dyDescent="0.25">
      <c r="A346" s="16" t="s">
        <v>1274</v>
      </c>
      <c r="B346" s="8">
        <v>2.7871746376767772E-3</v>
      </c>
    </row>
    <row r="347" spans="1:2" x14ac:dyDescent="0.25">
      <c r="A347" s="16" t="s">
        <v>1165</v>
      </c>
      <c r="B347" s="8">
        <v>2.3892570008000481E-4</v>
      </c>
    </row>
    <row r="348" spans="1:2" x14ac:dyDescent="0.25">
      <c r="A348" s="16" t="s">
        <v>918</v>
      </c>
      <c r="B348" s="8">
        <v>2.4012957791027011E-3</v>
      </c>
    </row>
    <row r="349" spans="1:2" x14ac:dyDescent="0.25">
      <c r="A349" s="16" t="s">
        <v>1228</v>
      </c>
      <c r="B349" s="8">
        <v>4.2581342698291109E-4</v>
      </c>
    </row>
    <row r="350" spans="1:2" x14ac:dyDescent="0.25">
      <c r="A350" s="16" t="s">
        <v>988</v>
      </c>
      <c r="B350" s="8">
        <v>5.8815004388493373E-4</v>
      </c>
    </row>
    <row r="351" spans="1:2" x14ac:dyDescent="0.25">
      <c r="A351" s="16" t="s">
        <v>822</v>
      </c>
      <c r="B351" s="8">
        <v>1.076851317791269E-3</v>
      </c>
    </row>
    <row r="352" spans="1:2" x14ac:dyDescent="0.25">
      <c r="A352" s="16" t="s">
        <v>852</v>
      </c>
      <c r="B352" s="8">
        <v>5.2459113612511913E-4</v>
      </c>
    </row>
    <row r="353" spans="1:2" x14ac:dyDescent="0.25">
      <c r="A353" s="16" t="s">
        <v>1265</v>
      </c>
      <c r="B353" s="8">
        <v>4.8608238627231574E-5</v>
      </c>
    </row>
    <row r="354" spans="1:2" x14ac:dyDescent="0.25">
      <c r="A354" s="16" t="s">
        <v>897</v>
      </c>
      <c r="B354" s="8">
        <v>1.1088460828967295E-3</v>
      </c>
    </row>
    <row r="355" spans="1:2" x14ac:dyDescent="0.25">
      <c r="A355" s="16" t="s">
        <v>1232</v>
      </c>
      <c r="B355" s="8">
        <v>1.5070971742958132E-3</v>
      </c>
    </row>
    <row r="356" spans="1:2" x14ac:dyDescent="0.25">
      <c r="A356" s="16" t="s">
        <v>1052</v>
      </c>
      <c r="B356" s="8">
        <v>2.6509763645545193E-4</v>
      </c>
    </row>
    <row r="357" spans="1:2" x14ac:dyDescent="0.25">
      <c r="A357" s="16" t="s">
        <v>1129</v>
      </c>
      <c r="B357" s="8">
        <v>5.1080656761027729E-3</v>
      </c>
    </row>
    <row r="358" spans="1:2" x14ac:dyDescent="0.25">
      <c r="A358" s="16" t="s">
        <v>1000</v>
      </c>
      <c r="B358" s="8">
        <v>3.5297285484779412E-3</v>
      </c>
    </row>
    <row r="359" spans="1:2" x14ac:dyDescent="0.25">
      <c r="A359" s="16" t="s">
        <v>894</v>
      </c>
      <c r="B359" s="8">
        <v>2.004505346393261E-3</v>
      </c>
    </row>
    <row r="360" spans="1:2" x14ac:dyDescent="0.25">
      <c r="A360" s="16" t="s">
        <v>774</v>
      </c>
      <c r="B360" s="8">
        <v>3.7377764854509901E-3</v>
      </c>
    </row>
    <row r="361" spans="1:2" x14ac:dyDescent="0.25">
      <c r="A361" s="4" t="s">
        <v>729</v>
      </c>
      <c r="B361" s="8">
        <v>0.16207299390268301</v>
      </c>
    </row>
    <row r="362" spans="1:2" x14ac:dyDescent="0.25">
      <c r="A362" s="16" t="s">
        <v>1230</v>
      </c>
      <c r="B362" s="8">
        <v>2.2959074492156584E-3</v>
      </c>
    </row>
    <row r="363" spans="1:2" x14ac:dyDescent="0.25">
      <c r="A363" s="16" t="s">
        <v>1045</v>
      </c>
      <c r="B363" s="8">
        <v>7.9931391870073084E-5</v>
      </c>
    </row>
    <row r="364" spans="1:2" x14ac:dyDescent="0.25">
      <c r="A364" s="16" t="s">
        <v>1229</v>
      </c>
      <c r="B364" s="8">
        <v>2.7908186341382246E-3</v>
      </c>
    </row>
    <row r="365" spans="1:2" x14ac:dyDescent="0.25">
      <c r="A365" s="16" t="s">
        <v>1324</v>
      </c>
      <c r="B365" s="8">
        <v>4.70719901595702E-3</v>
      </c>
    </row>
    <row r="366" spans="1:2" x14ac:dyDescent="0.25">
      <c r="A366" s="16" t="s">
        <v>1114</v>
      </c>
      <c r="B366" s="8">
        <v>1.1712578595258949E-3</v>
      </c>
    </row>
    <row r="367" spans="1:2" x14ac:dyDescent="0.25">
      <c r="A367" s="16" t="s">
        <v>775</v>
      </c>
      <c r="B367" s="8">
        <v>9.6008955104031257E-4</v>
      </c>
    </row>
    <row r="368" spans="1:2" x14ac:dyDescent="0.25">
      <c r="A368" s="16" t="s">
        <v>957</v>
      </c>
      <c r="B368" s="8">
        <v>6.0911831588002178E-3</v>
      </c>
    </row>
    <row r="369" spans="1:2" x14ac:dyDescent="0.25">
      <c r="A369" s="16" t="s">
        <v>960</v>
      </c>
      <c r="B369" s="8">
        <v>2.7714454257683103E-3</v>
      </c>
    </row>
    <row r="370" spans="1:2" x14ac:dyDescent="0.25">
      <c r="A370" s="16" t="s">
        <v>1036</v>
      </c>
      <c r="B370" s="8">
        <v>3.6086233236196827E-3</v>
      </c>
    </row>
    <row r="371" spans="1:2" x14ac:dyDescent="0.25">
      <c r="A371" s="16" t="s">
        <v>832</v>
      </c>
      <c r="B371" s="8">
        <v>4.8451109224555453E-4</v>
      </c>
    </row>
    <row r="372" spans="1:2" x14ac:dyDescent="0.25">
      <c r="A372" s="16" t="s">
        <v>1075</v>
      </c>
      <c r="B372" s="8">
        <v>1.0140315635248466E-4</v>
      </c>
    </row>
    <row r="373" spans="1:2" x14ac:dyDescent="0.25">
      <c r="A373" s="16" t="s">
        <v>807</v>
      </c>
      <c r="B373" s="8">
        <v>8.5231393275277437E-4</v>
      </c>
    </row>
    <row r="374" spans="1:2" x14ac:dyDescent="0.25">
      <c r="A374" s="16" t="s">
        <v>1213</v>
      </c>
      <c r="B374" s="8">
        <v>3.6815819932236775E-3</v>
      </c>
    </row>
    <row r="375" spans="1:2" x14ac:dyDescent="0.25">
      <c r="A375" s="16" t="s">
        <v>824</v>
      </c>
      <c r="B375" s="8">
        <v>7.5696387953674013E-4</v>
      </c>
    </row>
    <row r="376" spans="1:2" x14ac:dyDescent="0.25">
      <c r="A376" s="16" t="s">
        <v>779</v>
      </c>
      <c r="B376" s="8">
        <v>2.9557701032709633E-3</v>
      </c>
    </row>
    <row r="377" spans="1:2" x14ac:dyDescent="0.25">
      <c r="A377" s="16" t="s">
        <v>781</v>
      </c>
      <c r="B377" s="8">
        <v>9.9333843729316092E-3</v>
      </c>
    </row>
    <row r="378" spans="1:2" x14ac:dyDescent="0.25">
      <c r="A378" s="16" t="s">
        <v>878</v>
      </c>
      <c r="B378" s="8">
        <v>2.3343259635224909E-3</v>
      </c>
    </row>
    <row r="379" spans="1:2" x14ac:dyDescent="0.25">
      <c r="A379" s="16" t="s">
        <v>991</v>
      </c>
      <c r="B379" s="8">
        <v>2.1769723822812412E-4</v>
      </c>
    </row>
    <row r="380" spans="1:2" x14ac:dyDescent="0.25">
      <c r="A380" s="16" t="s">
        <v>1357</v>
      </c>
      <c r="B380" s="8">
        <v>2.973758199920152E-3</v>
      </c>
    </row>
    <row r="381" spans="1:2" x14ac:dyDescent="0.25">
      <c r="A381" s="16" t="s">
        <v>1172</v>
      </c>
      <c r="B381" s="8">
        <v>2.5420298773628667E-4</v>
      </c>
    </row>
    <row r="382" spans="1:2" x14ac:dyDescent="0.25">
      <c r="A382" s="16" t="s">
        <v>1296</v>
      </c>
      <c r="B382" s="8">
        <v>9.2442702442141348E-4</v>
      </c>
    </row>
    <row r="383" spans="1:2" x14ac:dyDescent="0.25">
      <c r="A383" s="16" t="s">
        <v>982</v>
      </c>
      <c r="B383" s="8">
        <v>3.2661852369874098E-4</v>
      </c>
    </row>
    <row r="384" spans="1:2" x14ac:dyDescent="0.25">
      <c r="A384" s="16" t="s">
        <v>1217</v>
      </c>
      <c r="B384" s="8">
        <v>1.9921263648608818E-3</v>
      </c>
    </row>
    <row r="385" spans="1:2" x14ac:dyDescent="0.25">
      <c r="A385" s="16" t="s">
        <v>1311</v>
      </c>
      <c r="B385" s="8">
        <v>3.8923534755334974E-4</v>
      </c>
    </row>
    <row r="386" spans="1:2" x14ac:dyDescent="0.25">
      <c r="A386" s="16" t="s">
        <v>848</v>
      </c>
      <c r="B386" s="8">
        <v>1.36321706634566E-4</v>
      </c>
    </row>
    <row r="387" spans="1:2" x14ac:dyDescent="0.25">
      <c r="A387" s="16" t="s">
        <v>755</v>
      </c>
      <c r="B387" s="8">
        <v>1.8098015506723608E-3</v>
      </c>
    </row>
    <row r="388" spans="1:2" x14ac:dyDescent="0.25">
      <c r="A388" s="16" t="s">
        <v>1133</v>
      </c>
      <c r="B388" s="8">
        <v>1.6123084729130635E-3</v>
      </c>
    </row>
    <row r="389" spans="1:2" x14ac:dyDescent="0.25">
      <c r="A389" s="16" t="s">
        <v>932</v>
      </c>
      <c r="B389" s="8">
        <v>7.5918160734647427E-4</v>
      </c>
    </row>
    <row r="390" spans="1:2" x14ac:dyDescent="0.25">
      <c r="A390" s="16" t="s">
        <v>1110</v>
      </c>
      <c r="B390" s="8">
        <v>3.9602503327303036E-3</v>
      </c>
    </row>
    <row r="391" spans="1:2" x14ac:dyDescent="0.25">
      <c r="A391" s="16" t="s">
        <v>1309</v>
      </c>
      <c r="B391" s="8">
        <v>1.2623230364054352E-3</v>
      </c>
    </row>
    <row r="392" spans="1:2" x14ac:dyDescent="0.25">
      <c r="A392" s="16" t="s">
        <v>1240</v>
      </c>
      <c r="B392" s="8">
        <v>1.3933804603188083E-3</v>
      </c>
    </row>
    <row r="393" spans="1:2" x14ac:dyDescent="0.25">
      <c r="A393" s="16" t="s">
        <v>1041</v>
      </c>
      <c r="B393" s="8">
        <v>3.31372377912692E-4</v>
      </c>
    </row>
    <row r="394" spans="1:2" x14ac:dyDescent="0.25">
      <c r="A394" s="16" t="s">
        <v>1308</v>
      </c>
      <c r="B394" s="8">
        <v>1.0994328454606267E-3</v>
      </c>
    </row>
    <row r="395" spans="1:2" x14ac:dyDescent="0.25">
      <c r="A395" s="16" t="s">
        <v>1116</v>
      </c>
      <c r="B395" s="8">
        <v>4.3366830768792643E-3</v>
      </c>
    </row>
    <row r="396" spans="1:2" x14ac:dyDescent="0.25">
      <c r="A396" s="16" t="s">
        <v>1091</v>
      </c>
      <c r="B396" s="8">
        <v>4.4860910563117628E-3</v>
      </c>
    </row>
    <row r="397" spans="1:2" x14ac:dyDescent="0.25">
      <c r="A397" s="16" t="s">
        <v>1051</v>
      </c>
      <c r="B397" s="8">
        <v>1.4827328139943086E-3</v>
      </c>
    </row>
    <row r="398" spans="1:2" x14ac:dyDescent="0.25">
      <c r="A398" s="16" t="s">
        <v>863</v>
      </c>
      <c r="B398" s="8">
        <v>1.4613514441826035E-3</v>
      </c>
    </row>
    <row r="399" spans="1:2" x14ac:dyDescent="0.25">
      <c r="A399" s="16" t="s">
        <v>1251</v>
      </c>
      <c r="B399" s="8">
        <v>8.9180633352894717E-4</v>
      </c>
    </row>
    <row r="400" spans="1:2" x14ac:dyDescent="0.25">
      <c r="A400" s="16" t="s">
        <v>846</v>
      </c>
      <c r="B400" s="8">
        <v>3.1542214356457743E-6</v>
      </c>
    </row>
    <row r="401" spans="1:2" x14ac:dyDescent="0.25">
      <c r="A401" s="16" t="s">
        <v>1282</v>
      </c>
      <c r="B401" s="8">
        <v>2.6981603495038363E-3</v>
      </c>
    </row>
    <row r="402" spans="1:2" x14ac:dyDescent="0.25">
      <c r="A402" s="16" t="s">
        <v>1055</v>
      </c>
      <c r="B402" s="8">
        <v>6.8133643896722102E-4</v>
      </c>
    </row>
    <row r="403" spans="1:2" x14ac:dyDescent="0.25">
      <c r="A403" s="16" t="s">
        <v>1354</v>
      </c>
      <c r="B403" s="8">
        <v>2.7487656872212168E-3</v>
      </c>
    </row>
    <row r="404" spans="1:2" x14ac:dyDescent="0.25">
      <c r="A404" s="16" t="s">
        <v>1356</v>
      </c>
      <c r="B404" s="8">
        <v>4.5546407286480954E-3</v>
      </c>
    </row>
    <row r="405" spans="1:2" x14ac:dyDescent="0.25">
      <c r="A405" s="16" t="s">
        <v>814</v>
      </c>
      <c r="B405" s="8">
        <v>5.4823295555566261E-3</v>
      </c>
    </row>
    <row r="406" spans="1:2" x14ac:dyDescent="0.25">
      <c r="A406" s="16" t="s">
        <v>1056</v>
      </c>
      <c r="B406" s="8">
        <v>3.5959257461781482E-3</v>
      </c>
    </row>
    <row r="407" spans="1:2" x14ac:dyDescent="0.25">
      <c r="A407" s="16" t="s">
        <v>1277</v>
      </c>
      <c r="B407" s="8">
        <v>9.8135744672961096E-4</v>
      </c>
    </row>
    <row r="408" spans="1:2" x14ac:dyDescent="0.25">
      <c r="A408" s="16" t="s">
        <v>782</v>
      </c>
      <c r="B408" s="8">
        <v>3.2389887573593098E-3</v>
      </c>
    </row>
    <row r="409" spans="1:2" x14ac:dyDescent="0.25">
      <c r="A409" s="16" t="s">
        <v>1196</v>
      </c>
      <c r="B409" s="8">
        <v>1.7158116575091733E-4</v>
      </c>
    </row>
    <row r="410" spans="1:2" x14ac:dyDescent="0.25">
      <c r="A410" s="16" t="s">
        <v>1346</v>
      </c>
      <c r="B410" s="8">
        <v>1.6822388405767375E-3</v>
      </c>
    </row>
    <row r="411" spans="1:2" x14ac:dyDescent="0.25">
      <c r="A411" s="16" t="s">
        <v>1113</v>
      </c>
      <c r="B411" s="8">
        <v>3.0188270243180983E-3</v>
      </c>
    </row>
    <row r="412" spans="1:2" x14ac:dyDescent="0.25">
      <c r="A412" s="16" t="s">
        <v>1010</v>
      </c>
      <c r="B412" s="8">
        <v>7.2332427386085241E-3</v>
      </c>
    </row>
    <row r="413" spans="1:2" x14ac:dyDescent="0.25">
      <c r="A413" s="16" t="s">
        <v>928</v>
      </c>
      <c r="B413" s="8">
        <v>3.5720136683868066E-4</v>
      </c>
    </row>
    <row r="414" spans="1:2" x14ac:dyDescent="0.25">
      <c r="A414" s="16" t="s">
        <v>1345</v>
      </c>
      <c r="B414" s="8">
        <v>7.4689822886472952E-3</v>
      </c>
    </row>
    <row r="415" spans="1:2" x14ac:dyDescent="0.25">
      <c r="A415" s="16" t="s">
        <v>1200</v>
      </c>
      <c r="B415" s="8">
        <v>1.2968142585730858E-3</v>
      </c>
    </row>
    <row r="416" spans="1:2" x14ac:dyDescent="0.25">
      <c r="A416" s="16" t="s">
        <v>937</v>
      </c>
      <c r="B416" s="8">
        <v>4.361174154118342E-3</v>
      </c>
    </row>
    <row r="417" spans="1:2" x14ac:dyDescent="0.25">
      <c r="A417" s="16" t="s">
        <v>1334</v>
      </c>
      <c r="B417" s="8">
        <v>9.6619648562028807E-5</v>
      </c>
    </row>
    <row r="418" spans="1:2" x14ac:dyDescent="0.25">
      <c r="A418" s="16" t="s">
        <v>1237</v>
      </c>
      <c r="B418" s="8">
        <v>9.2655052129037886E-4</v>
      </c>
    </row>
    <row r="419" spans="1:2" x14ac:dyDescent="0.25">
      <c r="A419" s="16" t="s">
        <v>854</v>
      </c>
      <c r="B419" s="8">
        <v>3.5932006077754497E-3</v>
      </c>
    </row>
    <row r="420" spans="1:2" x14ac:dyDescent="0.25">
      <c r="A420" s="16" t="s">
        <v>842</v>
      </c>
      <c r="B420" s="8">
        <v>1.5097754945640624E-4</v>
      </c>
    </row>
    <row r="421" spans="1:2" x14ac:dyDescent="0.25">
      <c r="A421" s="16" t="s">
        <v>1269</v>
      </c>
      <c r="B421" s="8">
        <v>7.1137370067253969E-4</v>
      </c>
    </row>
    <row r="422" spans="1:2" x14ac:dyDescent="0.25">
      <c r="A422" s="16" t="s">
        <v>1147</v>
      </c>
      <c r="B422" s="8">
        <v>2.8654657826802294E-3</v>
      </c>
    </row>
    <row r="423" spans="1:2" x14ac:dyDescent="0.25">
      <c r="A423" s="16" t="s">
        <v>818</v>
      </c>
      <c r="B423" s="8">
        <v>1.9151900851483495E-3</v>
      </c>
    </row>
    <row r="424" spans="1:2" x14ac:dyDescent="0.25">
      <c r="A424" s="16" t="s">
        <v>1284</v>
      </c>
      <c r="B424" s="8">
        <v>1.7121934992677054E-3</v>
      </c>
    </row>
    <row r="425" spans="1:2" x14ac:dyDescent="0.25">
      <c r="A425" s="16" t="s">
        <v>949</v>
      </c>
      <c r="B425" s="8">
        <v>1.3869375452249559E-3</v>
      </c>
    </row>
    <row r="426" spans="1:2" x14ac:dyDescent="0.25">
      <c r="A426" s="16" t="s">
        <v>1112</v>
      </c>
      <c r="B426" s="8">
        <v>5.9797247739912858E-4</v>
      </c>
    </row>
    <row r="427" spans="1:2" x14ac:dyDescent="0.25">
      <c r="A427" s="16" t="s">
        <v>889</v>
      </c>
      <c r="B427" s="8">
        <v>8.1014173684937135E-4</v>
      </c>
    </row>
    <row r="428" spans="1:2" x14ac:dyDescent="0.25">
      <c r="A428" s="16" t="s">
        <v>766</v>
      </c>
      <c r="B428" s="8">
        <v>8.7722150580354474E-4</v>
      </c>
    </row>
    <row r="429" spans="1:2" x14ac:dyDescent="0.25">
      <c r="A429" s="16" t="s">
        <v>1167</v>
      </c>
      <c r="B429" s="8">
        <v>1.7731070374003041E-4</v>
      </c>
    </row>
    <row r="430" spans="1:2" x14ac:dyDescent="0.25">
      <c r="A430" s="16" t="s">
        <v>1236</v>
      </c>
      <c r="B430" s="8">
        <v>7.8536581269370411E-4</v>
      </c>
    </row>
    <row r="431" spans="1:2" x14ac:dyDescent="0.25">
      <c r="A431" s="16" t="s">
        <v>1015</v>
      </c>
      <c r="B431" s="8">
        <v>1.1853401822466208E-3</v>
      </c>
    </row>
    <row r="432" spans="1:2" x14ac:dyDescent="0.25">
      <c r="A432" s="16" t="s">
        <v>857</v>
      </c>
      <c r="B432" s="8">
        <v>9.8360378607615078E-4</v>
      </c>
    </row>
    <row r="433" spans="1:2" x14ac:dyDescent="0.25">
      <c r="A433" s="16" t="s">
        <v>1353</v>
      </c>
      <c r="B433" s="8">
        <v>2.1415564535388331E-4</v>
      </c>
    </row>
    <row r="434" spans="1:2" x14ac:dyDescent="0.25">
      <c r="A434" s="16" t="s">
        <v>890</v>
      </c>
      <c r="B434" s="8">
        <v>6.5503058321400988E-4</v>
      </c>
    </row>
    <row r="435" spans="1:2" x14ac:dyDescent="0.25">
      <c r="A435" s="16" t="s">
        <v>1272</v>
      </c>
      <c r="B435" s="8">
        <v>3.0375884599096641E-4</v>
      </c>
    </row>
    <row r="436" spans="1:2" x14ac:dyDescent="0.25">
      <c r="A436" s="16" t="s">
        <v>1348</v>
      </c>
      <c r="B436" s="8">
        <v>9.8078317192260597E-4</v>
      </c>
    </row>
    <row r="437" spans="1:2" x14ac:dyDescent="0.25">
      <c r="A437" s="16" t="s">
        <v>1087</v>
      </c>
      <c r="B437" s="8">
        <v>3.1658519080595723E-3</v>
      </c>
    </row>
    <row r="438" spans="1:2" x14ac:dyDescent="0.25">
      <c r="A438" s="16" t="s">
        <v>1065</v>
      </c>
      <c r="B438" s="8">
        <v>7.9693364542787965E-4</v>
      </c>
    </row>
    <row r="439" spans="1:2" x14ac:dyDescent="0.25">
      <c r="A439" s="16" t="s">
        <v>996</v>
      </c>
      <c r="B439" s="8">
        <v>7.4434528797698773E-4</v>
      </c>
    </row>
    <row r="440" spans="1:2" x14ac:dyDescent="0.25">
      <c r="A440" s="16" t="s">
        <v>1301</v>
      </c>
      <c r="B440" s="8">
        <v>3.1194958718434363E-3</v>
      </c>
    </row>
    <row r="441" spans="1:2" x14ac:dyDescent="0.25">
      <c r="A441" s="16" t="s">
        <v>1263</v>
      </c>
      <c r="B441" s="8">
        <v>8.4218527414103861E-4</v>
      </c>
    </row>
    <row r="442" spans="1:2" x14ac:dyDescent="0.25">
      <c r="A442" s="16" t="s">
        <v>1078</v>
      </c>
      <c r="B442" s="8">
        <v>2.887118090997318E-4</v>
      </c>
    </row>
    <row r="443" spans="1:2" x14ac:dyDescent="0.25">
      <c r="A443" s="16" t="s">
        <v>736</v>
      </c>
      <c r="B443" s="8">
        <v>7.6243939989024641E-4</v>
      </c>
    </row>
    <row r="444" spans="1:2" x14ac:dyDescent="0.25">
      <c r="A444" s="16" t="s">
        <v>763</v>
      </c>
      <c r="B444" s="8">
        <v>1.82621855697445E-3</v>
      </c>
    </row>
    <row r="445" spans="1:2" x14ac:dyDescent="0.25">
      <c r="A445" s="16" t="s">
        <v>1169</v>
      </c>
      <c r="B445" s="8">
        <v>5.0433123107879901E-4</v>
      </c>
    </row>
    <row r="446" spans="1:2" x14ac:dyDescent="0.25">
      <c r="A446" s="16" t="s">
        <v>1021</v>
      </c>
      <c r="B446" s="8">
        <v>1.8211860016958538E-3</v>
      </c>
    </row>
    <row r="447" spans="1:2" x14ac:dyDescent="0.25">
      <c r="A447" s="16" t="s">
        <v>788</v>
      </c>
      <c r="B447" s="8">
        <v>1.9567650613671097E-5</v>
      </c>
    </row>
    <row r="448" spans="1:2" x14ac:dyDescent="0.25">
      <c r="A448" s="4" t="s">
        <v>730</v>
      </c>
      <c r="B448" s="8">
        <v>0.12719444392753065</v>
      </c>
    </row>
    <row r="449" spans="1:2" x14ac:dyDescent="0.25">
      <c r="A449" s="16" t="s">
        <v>1154</v>
      </c>
      <c r="B449" s="8">
        <v>9.0789446446393966E-4</v>
      </c>
    </row>
    <row r="450" spans="1:2" x14ac:dyDescent="0.25">
      <c r="A450" s="16" t="s">
        <v>751</v>
      </c>
      <c r="B450" s="8">
        <v>3.2158846385971799E-3</v>
      </c>
    </row>
    <row r="451" spans="1:2" x14ac:dyDescent="0.25">
      <c r="A451" s="16" t="s">
        <v>1016</v>
      </c>
      <c r="B451" s="8">
        <v>6.0716543528078E-5</v>
      </c>
    </row>
    <row r="452" spans="1:2" x14ac:dyDescent="0.25">
      <c r="A452" s="16" t="s">
        <v>1081</v>
      </c>
      <c r="B452" s="8">
        <v>2.0066083843676063E-4</v>
      </c>
    </row>
    <row r="453" spans="1:2" x14ac:dyDescent="0.25">
      <c r="A453" s="16" t="s">
        <v>947</v>
      </c>
      <c r="B453" s="8">
        <v>2.2025636770416778E-3</v>
      </c>
    </row>
    <row r="454" spans="1:2" x14ac:dyDescent="0.25">
      <c r="A454" s="16" t="s">
        <v>1077</v>
      </c>
      <c r="B454" s="8">
        <v>8.1280002740514523E-4</v>
      </c>
    </row>
    <row r="455" spans="1:2" x14ac:dyDescent="0.25">
      <c r="A455" s="16" t="s">
        <v>762</v>
      </c>
      <c r="B455" s="8">
        <v>3.5582109523777945E-4</v>
      </c>
    </row>
    <row r="456" spans="1:2" x14ac:dyDescent="0.25">
      <c r="A456" s="16" t="s">
        <v>1294</v>
      </c>
      <c r="B456" s="8">
        <v>3.0071223925030809E-3</v>
      </c>
    </row>
    <row r="457" spans="1:2" x14ac:dyDescent="0.25">
      <c r="A457" s="16" t="s">
        <v>1246</v>
      </c>
      <c r="B457" s="8">
        <v>4.719079185087881E-4</v>
      </c>
    </row>
    <row r="458" spans="1:2" x14ac:dyDescent="0.25">
      <c r="A458" s="16" t="s">
        <v>936</v>
      </c>
      <c r="B458" s="8">
        <v>2.3004017482531921E-3</v>
      </c>
    </row>
    <row r="459" spans="1:2" x14ac:dyDescent="0.25">
      <c r="A459" s="16" t="s">
        <v>1105</v>
      </c>
      <c r="B459" s="8">
        <v>1.5342761574772333E-3</v>
      </c>
    </row>
    <row r="460" spans="1:2" x14ac:dyDescent="0.25">
      <c r="A460" s="16" t="s">
        <v>1061</v>
      </c>
      <c r="B460" s="8">
        <v>3.4551009877362881E-4</v>
      </c>
    </row>
    <row r="461" spans="1:2" x14ac:dyDescent="0.25">
      <c r="A461" s="16" t="s">
        <v>841</v>
      </c>
      <c r="B461" s="8">
        <v>2.1538691837147267E-3</v>
      </c>
    </row>
    <row r="462" spans="1:2" x14ac:dyDescent="0.25">
      <c r="A462" s="16" t="s">
        <v>1182</v>
      </c>
      <c r="B462" s="8">
        <v>1.117437545639405E-3</v>
      </c>
    </row>
    <row r="463" spans="1:2" x14ac:dyDescent="0.25">
      <c r="A463" s="16" t="s">
        <v>972</v>
      </c>
      <c r="B463" s="8">
        <v>6.0778261193516168E-4</v>
      </c>
    </row>
    <row r="464" spans="1:2" x14ac:dyDescent="0.25">
      <c r="A464" s="16" t="s">
        <v>1216</v>
      </c>
      <c r="B464" s="8">
        <v>4.6619356374733598E-4</v>
      </c>
    </row>
    <row r="465" spans="1:2" x14ac:dyDescent="0.25">
      <c r="A465" s="16" t="s">
        <v>965</v>
      </c>
      <c r="B465" s="8">
        <v>5.2872082583557028E-4</v>
      </c>
    </row>
    <row r="466" spans="1:2" x14ac:dyDescent="0.25">
      <c r="A466" s="16" t="s">
        <v>1156</v>
      </c>
      <c r="B466" s="8">
        <v>2.6939654413837568E-3</v>
      </c>
    </row>
    <row r="467" spans="1:2" x14ac:dyDescent="0.25">
      <c r="A467" s="16" t="s">
        <v>867</v>
      </c>
      <c r="B467" s="8">
        <v>3.1774064370565394E-4</v>
      </c>
    </row>
    <row r="468" spans="1:2" x14ac:dyDescent="0.25">
      <c r="A468" s="16" t="s">
        <v>1264</v>
      </c>
      <c r="B468" s="8">
        <v>5.6211931389087228E-5</v>
      </c>
    </row>
    <row r="469" spans="1:2" x14ac:dyDescent="0.25">
      <c r="A469" s="16" t="s">
        <v>1002</v>
      </c>
      <c r="B469" s="8">
        <v>6.3166155177292395E-4</v>
      </c>
    </row>
    <row r="470" spans="1:2" x14ac:dyDescent="0.25">
      <c r="A470" s="16" t="s">
        <v>1160</v>
      </c>
      <c r="B470" s="8">
        <v>1.7856309797485532E-3</v>
      </c>
    </row>
    <row r="471" spans="1:2" x14ac:dyDescent="0.25">
      <c r="A471" s="16" t="s">
        <v>934</v>
      </c>
      <c r="B471" s="8">
        <v>1.3606318967885435E-3</v>
      </c>
    </row>
    <row r="472" spans="1:2" x14ac:dyDescent="0.25">
      <c r="A472" s="16" t="s">
        <v>1126</v>
      </c>
      <c r="B472" s="8">
        <v>1.0261966968699594E-3</v>
      </c>
    </row>
    <row r="473" spans="1:2" x14ac:dyDescent="0.25">
      <c r="A473" s="16" t="s">
        <v>825</v>
      </c>
      <c r="B473" s="8">
        <v>1.7740869548027265E-3</v>
      </c>
    </row>
    <row r="474" spans="1:2" x14ac:dyDescent="0.25">
      <c r="A474" s="16" t="s">
        <v>975</v>
      </c>
      <c r="B474" s="8">
        <v>8.8063044138649862E-4</v>
      </c>
    </row>
    <row r="475" spans="1:2" x14ac:dyDescent="0.25">
      <c r="A475" s="16" t="s">
        <v>1020</v>
      </c>
      <c r="B475" s="8">
        <v>6.923173551160846E-6</v>
      </c>
    </row>
    <row r="476" spans="1:2" x14ac:dyDescent="0.25">
      <c r="A476" s="16" t="s">
        <v>997</v>
      </c>
      <c r="B476" s="8">
        <v>5.0953406255482581E-5</v>
      </c>
    </row>
    <row r="477" spans="1:2" x14ac:dyDescent="0.25">
      <c r="A477" s="16" t="s">
        <v>1068</v>
      </c>
      <c r="B477" s="8">
        <v>4.4158089429646594E-4</v>
      </c>
    </row>
    <row r="478" spans="1:2" x14ac:dyDescent="0.25">
      <c r="A478" s="16" t="s">
        <v>1146</v>
      </c>
      <c r="B478" s="8">
        <v>1.4670592039057143E-3</v>
      </c>
    </row>
    <row r="479" spans="1:2" x14ac:dyDescent="0.25">
      <c r="A479" s="16" t="s">
        <v>1174</v>
      </c>
      <c r="B479" s="8">
        <v>1.1519273575072528E-3</v>
      </c>
    </row>
    <row r="480" spans="1:2" x14ac:dyDescent="0.25">
      <c r="A480" s="16" t="s">
        <v>862</v>
      </c>
      <c r="B480" s="8">
        <v>2.4024822667816103E-4</v>
      </c>
    </row>
    <row r="481" spans="1:2" x14ac:dyDescent="0.25">
      <c r="A481" s="16" t="s">
        <v>1304</v>
      </c>
      <c r="B481" s="8">
        <v>7.6471289046315793E-5</v>
      </c>
    </row>
    <row r="482" spans="1:2" x14ac:dyDescent="0.25">
      <c r="A482" s="16" t="s">
        <v>737</v>
      </c>
      <c r="B482" s="8">
        <v>4.7512564253476716E-4</v>
      </c>
    </row>
    <row r="483" spans="1:2" x14ac:dyDescent="0.25">
      <c r="A483" s="16" t="s">
        <v>1317</v>
      </c>
      <c r="B483" s="8">
        <v>2.0619212891864634E-3</v>
      </c>
    </row>
    <row r="484" spans="1:2" x14ac:dyDescent="0.25">
      <c r="A484" s="16" t="s">
        <v>883</v>
      </c>
      <c r="B484" s="8">
        <v>3.8640764680242215E-3</v>
      </c>
    </row>
    <row r="485" spans="1:2" x14ac:dyDescent="0.25">
      <c r="A485" s="16" t="s">
        <v>799</v>
      </c>
      <c r="B485" s="8">
        <v>1.1050774053850446E-3</v>
      </c>
    </row>
    <row r="486" spans="1:2" x14ac:dyDescent="0.25">
      <c r="A486" s="16" t="s">
        <v>1360</v>
      </c>
      <c r="B486" s="8">
        <v>3.0022218507425539E-3</v>
      </c>
    </row>
    <row r="487" spans="1:2" x14ac:dyDescent="0.25">
      <c r="A487" s="16" t="s">
        <v>979</v>
      </c>
      <c r="B487" s="8">
        <v>2.6458978485964795E-4</v>
      </c>
    </row>
    <row r="488" spans="1:2" x14ac:dyDescent="0.25">
      <c r="A488" s="16" t="s">
        <v>765</v>
      </c>
      <c r="B488" s="8">
        <v>2.3778113240338723E-3</v>
      </c>
    </row>
    <row r="489" spans="1:2" x14ac:dyDescent="0.25">
      <c r="A489" s="16" t="s">
        <v>1109</v>
      </c>
      <c r="B489" s="8">
        <v>3.4936538033202517E-3</v>
      </c>
    </row>
    <row r="490" spans="1:2" x14ac:dyDescent="0.25">
      <c r="A490" s="16" t="s">
        <v>931</v>
      </c>
      <c r="B490" s="8">
        <v>1.0299322564323169E-3</v>
      </c>
    </row>
    <row r="491" spans="1:2" x14ac:dyDescent="0.25">
      <c r="A491" s="16" t="s">
        <v>1037</v>
      </c>
      <c r="B491" s="8">
        <v>7.3592720754658868E-4</v>
      </c>
    </row>
    <row r="492" spans="1:2" x14ac:dyDescent="0.25">
      <c r="A492" s="16" t="s">
        <v>1318</v>
      </c>
      <c r="B492" s="8">
        <v>3.3721714039630704E-5</v>
      </c>
    </row>
    <row r="493" spans="1:2" x14ac:dyDescent="0.25">
      <c r="A493" s="16" t="s">
        <v>1095</v>
      </c>
      <c r="B493" s="8">
        <v>4.3686270857403825E-4</v>
      </c>
    </row>
    <row r="494" spans="1:2" x14ac:dyDescent="0.25">
      <c r="A494" s="16" t="s">
        <v>896</v>
      </c>
      <c r="B494" s="8">
        <v>7.4148045715110526E-4</v>
      </c>
    </row>
    <row r="495" spans="1:2" x14ac:dyDescent="0.25">
      <c r="A495" s="16" t="s">
        <v>1186</v>
      </c>
      <c r="B495" s="8">
        <v>1.0897672316469078E-3</v>
      </c>
    </row>
    <row r="496" spans="1:2" x14ac:dyDescent="0.25">
      <c r="A496" s="16" t="s">
        <v>1162</v>
      </c>
      <c r="B496" s="8">
        <v>3.7406371872172953E-3</v>
      </c>
    </row>
    <row r="497" spans="1:2" x14ac:dyDescent="0.25">
      <c r="A497" s="16" t="s">
        <v>1140</v>
      </c>
      <c r="B497" s="8">
        <v>1.9586907398200645E-3</v>
      </c>
    </row>
    <row r="498" spans="1:2" x14ac:dyDescent="0.25">
      <c r="A498" s="16" t="s">
        <v>1219</v>
      </c>
      <c r="B498" s="8">
        <v>4.691714967983852E-4</v>
      </c>
    </row>
    <row r="499" spans="1:2" x14ac:dyDescent="0.25">
      <c r="A499" s="16" t="s">
        <v>1287</v>
      </c>
      <c r="B499" s="8">
        <v>3.0508237734816952E-3</v>
      </c>
    </row>
    <row r="500" spans="1:2" x14ac:dyDescent="0.25">
      <c r="A500" s="16" t="s">
        <v>1050</v>
      </c>
      <c r="B500" s="8">
        <v>8.2402489177632555E-4</v>
      </c>
    </row>
    <row r="501" spans="1:2" x14ac:dyDescent="0.25">
      <c r="A501" s="16" t="s">
        <v>1064</v>
      </c>
      <c r="B501" s="8">
        <v>2.3071184488212756E-4</v>
      </c>
    </row>
    <row r="502" spans="1:2" x14ac:dyDescent="0.25">
      <c r="A502" s="16" t="s">
        <v>1222</v>
      </c>
      <c r="B502" s="8">
        <v>8.7422587990042776E-4</v>
      </c>
    </row>
    <row r="503" spans="1:2" x14ac:dyDescent="0.25">
      <c r="A503" s="16" t="s">
        <v>1189</v>
      </c>
      <c r="B503" s="8">
        <v>1.8911274717196749E-3</v>
      </c>
    </row>
    <row r="504" spans="1:2" x14ac:dyDescent="0.25">
      <c r="A504" s="16" t="s">
        <v>1019</v>
      </c>
      <c r="B504" s="8">
        <v>3.6177212394790544E-4</v>
      </c>
    </row>
    <row r="505" spans="1:2" x14ac:dyDescent="0.25">
      <c r="A505" s="16" t="s">
        <v>1012</v>
      </c>
      <c r="B505" s="8">
        <v>3.1679774508180003E-3</v>
      </c>
    </row>
    <row r="506" spans="1:2" x14ac:dyDescent="0.25">
      <c r="A506" s="16" t="s">
        <v>761</v>
      </c>
      <c r="B506" s="8">
        <v>3.619594455870497E-4</v>
      </c>
    </row>
    <row r="507" spans="1:2" x14ac:dyDescent="0.25">
      <c r="A507" s="16" t="s">
        <v>1100</v>
      </c>
      <c r="B507" s="8">
        <v>1.7774078353032343E-3</v>
      </c>
    </row>
    <row r="508" spans="1:2" x14ac:dyDescent="0.25">
      <c r="A508" s="16" t="s">
        <v>828</v>
      </c>
      <c r="B508" s="8">
        <v>4.9897901875638022E-4</v>
      </c>
    </row>
    <row r="509" spans="1:2" x14ac:dyDescent="0.25">
      <c r="A509" s="16" t="s">
        <v>745</v>
      </c>
      <c r="B509" s="8">
        <v>9.4297773157982039E-4</v>
      </c>
    </row>
    <row r="510" spans="1:2" x14ac:dyDescent="0.25">
      <c r="A510" s="16" t="s">
        <v>978</v>
      </c>
      <c r="B510" s="8">
        <v>1.1137527623256423E-3</v>
      </c>
    </row>
    <row r="511" spans="1:2" x14ac:dyDescent="0.25">
      <c r="A511" s="16" t="s">
        <v>959</v>
      </c>
      <c r="B511" s="8">
        <v>1.9616578742118911E-3</v>
      </c>
    </row>
    <row r="512" spans="1:2" x14ac:dyDescent="0.25">
      <c r="A512" s="16" t="s">
        <v>1339</v>
      </c>
      <c r="B512" s="8">
        <v>2.6528399452612379E-3</v>
      </c>
    </row>
    <row r="513" spans="1:2" x14ac:dyDescent="0.25">
      <c r="A513" s="16" t="s">
        <v>915</v>
      </c>
      <c r="B513" s="8">
        <v>3.7600944325427541E-3</v>
      </c>
    </row>
    <row r="514" spans="1:2" x14ac:dyDescent="0.25">
      <c r="A514" s="16" t="s">
        <v>1312</v>
      </c>
      <c r="B514" s="8">
        <v>6.5225995605036992E-4</v>
      </c>
    </row>
    <row r="515" spans="1:2" x14ac:dyDescent="0.25">
      <c r="A515" s="16" t="s">
        <v>1070</v>
      </c>
      <c r="B515" s="8">
        <v>2.5685229783753492E-3</v>
      </c>
    </row>
    <row r="516" spans="1:2" x14ac:dyDescent="0.25">
      <c r="A516" s="16" t="s">
        <v>1226</v>
      </c>
      <c r="B516" s="8">
        <v>1.0015692779199941E-5</v>
      </c>
    </row>
    <row r="517" spans="1:2" x14ac:dyDescent="0.25">
      <c r="A517" s="16" t="s">
        <v>856</v>
      </c>
      <c r="B517" s="8">
        <v>1.4604898246552975E-3</v>
      </c>
    </row>
    <row r="518" spans="1:2" x14ac:dyDescent="0.25">
      <c r="A518" s="16" t="s">
        <v>1108</v>
      </c>
      <c r="B518" s="8">
        <v>2.8192581998405957E-3</v>
      </c>
    </row>
    <row r="519" spans="1:2" x14ac:dyDescent="0.25">
      <c r="A519" s="16" t="s">
        <v>871</v>
      </c>
      <c r="B519" s="8">
        <v>3.9428770431408573E-4</v>
      </c>
    </row>
    <row r="520" spans="1:2" x14ac:dyDescent="0.25">
      <c r="A520" s="16" t="s">
        <v>875</v>
      </c>
      <c r="B520" s="8">
        <v>7.466709278176446E-4</v>
      </c>
    </row>
    <row r="521" spans="1:2" x14ac:dyDescent="0.25">
      <c r="A521" s="16" t="s">
        <v>1266</v>
      </c>
      <c r="B521" s="8">
        <v>1.0842393792595308E-3</v>
      </c>
    </row>
    <row r="522" spans="1:2" x14ac:dyDescent="0.25">
      <c r="A522" s="16" t="s">
        <v>796</v>
      </c>
      <c r="B522" s="8">
        <v>9.9547561888941693E-4</v>
      </c>
    </row>
    <row r="523" spans="1:2" x14ac:dyDescent="0.25">
      <c r="A523" s="16" t="s">
        <v>834</v>
      </c>
      <c r="B523" s="8">
        <v>4.7992084008296699E-3</v>
      </c>
    </row>
    <row r="524" spans="1:2" x14ac:dyDescent="0.25">
      <c r="A524" s="16" t="s">
        <v>1153</v>
      </c>
      <c r="B524" s="8">
        <v>1.3209852159426808E-3</v>
      </c>
    </row>
    <row r="525" spans="1:2" x14ac:dyDescent="0.25">
      <c r="A525" s="16" t="s">
        <v>1145</v>
      </c>
      <c r="B525" s="8">
        <v>1.872221270808344E-4</v>
      </c>
    </row>
    <row r="526" spans="1:2" x14ac:dyDescent="0.25">
      <c r="A526" s="16" t="s">
        <v>1239</v>
      </c>
      <c r="B526" s="8">
        <v>3.1643482611405523E-3</v>
      </c>
    </row>
    <row r="527" spans="1:2" x14ac:dyDescent="0.25">
      <c r="A527" s="16" t="s">
        <v>970</v>
      </c>
      <c r="B527" s="8">
        <v>3.3678597382953185E-3</v>
      </c>
    </row>
    <row r="528" spans="1:2" x14ac:dyDescent="0.25">
      <c r="A528" s="16" t="s">
        <v>1168</v>
      </c>
      <c r="B528" s="8">
        <v>2.477708531159729E-3</v>
      </c>
    </row>
    <row r="529" spans="1:2" x14ac:dyDescent="0.25">
      <c r="A529" s="16" t="s">
        <v>840</v>
      </c>
      <c r="B529" s="8">
        <v>4.7160422667704305E-5</v>
      </c>
    </row>
    <row r="530" spans="1:2" x14ac:dyDescent="0.25">
      <c r="A530" s="16" t="s">
        <v>1234</v>
      </c>
      <c r="B530" s="8">
        <v>6.7542639169622994E-4</v>
      </c>
    </row>
    <row r="531" spans="1:2" x14ac:dyDescent="0.25">
      <c r="A531" s="16" t="s">
        <v>1362</v>
      </c>
      <c r="B531" s="8">
        <v>1.1611002529421975E-3</v>
      </c>
    </row>
    <row r="532" spans="1:2" x14ac:dyDescent="0.25">
      <c r="A532" s="16" t="s">
        <v>893</v>
      </c>
      <c r="B532" s="8">
        <v>2.6609069774291925E-3</v>
      </c>
    </row>
    <row r="533" spans="1:2" x14ac:dyDescent="0.25">
      <c r="A533" s="16" t="s">
        <v>1054</v>
      </c>
      <c r="B533" s="8">
        <v>2.0349966009723329E-3</v>
      </c>
    </row>
    <row r="534" spans="1:2" x14ac:dyDescent="0.25">
      <c r="A534" s="16" t="s">
        <v>1207</v>
      </c>
      <c r="B534" s="8">
        <v>1.7488586372042237E-3</v>
      </c>
    </row>
    <row r="535" spans="1:2" x14ac:dyDescent="0.25">
      <c r="A535" s="16" t="s">
        <v>1320</v>
      </c>
      <c r="B535" s="8">
        <v>6.2436522116850832E-3</v>
      </c>
    </row>
    <row r="536" spans="1:2" x14ac:dyDescent="0.25">
      <c r="A536" s="16" t="s">
        <v>930</v>
      </c>
      <c r="B536" s="8">
        <v>1.9713054069091865E-3</v>
      </c>
    </row>
    <row r="537" spans="1:2" x14ac:dyDescent="0.25">
      <c r="A537" s="4" t="s">
        <v>728</v>
      </c>
      <c r="B537" s="8">
        <v>0.14694966181074409</v>
      </c>
    </row>
    <row r="538" spans="1:2" x14ac:dyDescent="0.25">
      <c r="A538" s="16" t="s">
        <v>1235</v>
      </c>
      <c r="B538" s="8">
        <v>9.8831763724077171E-4</v>
      </c>
    </row>
    <row r="539" spans="1:2" x14ac:dyDescent="0.25">
      <c r="A539" s="16" t="s">
        <v>1069</v>
      </c>
      <c r="B539" s="8">
        <v>1.474799419326014E-3</v>
      </c>
    </row>
    <row r="540" spans="1:2" x14ac:dyDescent="0.25">
      <c r="A540" s="16" t="s">
        <v>966</v>
      </c>
      <c r="B540" s="8">
        <v>2.6187235991486323E-4</v>
      </c>
    </row>
    <row r="541" spans="1:2" x14ac:dyDescent="0.25">
      <c r="A541" s="16" t="s">
        <v>1124</v>
      </c>
      <c r="B541" s="8">
        <v>2.2960003580571928E-4</v>
      </c>
    </row>
    <row r="542" spans="1:2" x14ac:dyDescent="0.25">
      <c r="A542" s="16" t="s">
        <v>1208</v>
      </c>
      <c r="B542" s="8">
        <v>2.4727212927873588E-3</v>
      </c>
    </row>
    <row r="543" spans="1:2" x14ac:dyDescent="0.25">
      <c r="A543" s="16" t="s">
        <v>999</v>
      </c>
      <c r="B543" s="8">
        <v>1.1454727999384352E-3</v>
      </c>
    </row>
    <row r="544" spans="1:2" x14ac:dyDescent="0.25">
      <c r="A544" s="16" t="s">
        <v>1220</v>
      </c>
      <c r="B544" s="8">
        <v>2.6238736939593176E-3</v>
      </c>
    </row>
    <row r="545" spans="1:2" x14ac:dyDescent="0.25">
      <c r="A545" s="16" t="s">
        <v>783</v>
      </c>
      <c r="B545" s="8">
        <v>3.1319805585739722E-3</v>
      </c>
    </row>
    <row r="546" spans="1:2" x14ac:dyDescent="0.25">
      <c r="A546" s="16" t="s">
        <v>1260</v>
      </c>
      <c r="B546" s="8">
        <v>1.0372168559065573E-3</v>
      </c>
    </row>
    <row r="547" spans="1:2" x14ac:dyDescent="0.25">
      <c r="A547" s="16" t="s">
        <v>1271</v>
      </c>
      <c r="B547" s="8">
        <v>6.0249457179996496E-3</v>
      </c>
    </row>
    <row r="548" spans="1:2" x14ac:dyDescent="0.25">
      <c r="A548" s="16" t="s">
        <v>1144</v>
      </c>
      <c r="B548" s="8">
        <v>6.2739523210849268E-4</v>
      </c>
    </row>
    <row r="549" spans="1:2" x14ac:dyDescent="0.25">
      <c r="A549" s="16" t="s">
        <v>1249</v>
      </c>
      <c r="B549" s="8">
        <v>2.0187711726687525E-3</v>
      </c>
    </row>
    <row r="550" spans="1:2" x14ac:dyDescent="0.25">
      <c r="A550" s="16" t="s">
        <v>1259</v>
      </c>
      <c r="B550" s="8">
        <v>1.9518313307330883E-4</v>
      </c>
    </row>
    <row r="551" spans="1:2" x14ac:dyDescent="0.25">
      <c r="A551" s="16" t="s">
        <v>1173</v>
      </c>
      <c r="B551" s="8">
        <v>1.8796985876142033E-3</v>
      </c>
    </row>
    <row r="552" spans="1:2" x14ac:dyDescent="0.25">
      <c r="A552" s="16" t="s">
        <v>962</v>
      </c>
      <c r="B552" s="8">
        <v>1.5102383938766064E-3</v>
      </c>
    </row>
    <row r="553" spans="1:2" x14ac:dyDescent="0.25">
      <c r="A553" s="16" t="s">
        <v>1047</v>
      </c>
      <c r="B553" s="8">
        <v>3.666716745886481E-3</v>
      </c>
    </row>
    <row r="554" spans="1:2" x14ac:dyDescent="0.25">
      <c r="A554" s="16" t="s">
        <v>1183</v>
      </c>
      <c r="B554" s="8">
        <v>1.1332091301918415E-3</v>
      </c>
    </row>
    <row r="555" spans="1:2" x14ac:dyDescent="0.25">
      <c r="A555" s="16" t="s">
        <v>1289</v>
      </c>
      <c r="B555" s="8">
        <v>4.5960060421147862E-3</v>
      </c>
    </row>
    <row r="556" spans="1:2" x14ac:dyDescent="0.25">
      <c r="A556" s="16" t="s">
        <v>1163</v>
      </c>
      <c r="B556" s="8">
        <v>1.1780526812464808E-3</v>
      </c>
    </row>
    <row r="557" spans="1:2" x14ac:dyDescent="0.25">
      <c r="A557" s="16" t="s">
        <v>780</v>
      </c>
      <c r="B557" s="8">
        <v>6.488261097173264E-4</v>
      </c>
    </row>
    <row r="558" spans="1:2" x14ac:dyDescent="0.25">
      <c r="A558" s="16" t="s">
        <v>1258</v>
      </c>
      <c r="B558" s="8">
        <v>7.5713233807504429E-4</v>
      </c>
    </row>
    <row r="559" spans="1:2" x14ac:dyDescent="0.25">
      <c r="A559" s="16" t="s">
        <v>953</v>
      </c>
      <c r="B559" s="8">
        <v>2.5652654386125861E-3</v>
      </c>
    </row>
    <row r="560" spans="1:2" x14ac:dyDescent="0.25">
      <c r="A560" s="16" t="s">
        <v>987</v>
      </c>
      <c r="B560" s="8">
        <v>2.3172121290882001E-3</v>
      </c>
    </row>
    <row r="561" spans="1:2" x14ac:dyDescent="0.25">
      <c r="A561" s="16" t="s">
        <v>1042</v>
      </c>
      <c r="B561" s="8">
        <v>4.8509532189603945E-4</v>
      </c>
    </row>
    <row r="562" spans="1:2" x14ac:dyDescent="0.25">
      <c r="A562" s="16" t="s">
        <v>946</v>
      </c>
      <c r="B562" s="8">
        <v>6.3511907222953807E-4</v>
      </c>
    </row>
    <row r="563" spans="1:2" x14ac:dyDescent="0.25">
      <c r="A563" s="16" t="s">
        <v>776</v>
      </c>
      <c r="B563" s="8">
        <v>2.7820974201765826E-3</v>
      </c>
    </row>
    <row r="564" spans="1:2" x14ac:dyDescent="0.25">
      <c r="A564" s="16" t="s">
        <v>1202</v>
      </c>
      <c r="B564" s="8">
        <v>1.4777886929696722E-3</v>
      </c>
    </row>
    <row r="565" spans="1:2" x14ac:dyDescent="0.25">
      <c r="A565" s="16" t="s">
        <v>1098</v>
      </c>
      <c r="B565" s="8">
        <v>1.1563650063202249E-3</v>
      </c>
    </row>
    <row r="566" spans="1:2" x14ac:dyDescent="0.25">
      <c r="A566" s="16" t="s">
        <v>1103</v>
      </c>
      <c r="B566" s="8">
        <v>4.1550410996668774E-4</v>
      </c>
    </row>
    <row r="567" spans="1:2" x14ac:dyDescent="0.25">
      <c r="A567" s="16" t="s">
        <v>908</v>
      </c>
      <c r="B567" s="8">
        <v>1.7755007826279417E-4</v>
      </c>
    </row>
    <row r="568" spans="1:2" x14ac:dyDescent="0.25">
      <c r="A568" s="16" t="s">
        <v>1214</v>
      </c>
      <c r="B568" s="8">
        <v>4.3086669393713678E-4</v>
      </c>
    </row>
    <row r="569" spans="1:2" x14ac:dyDescent="0.25">
      <c r="A569" s="16" t="s">
        <v>898</v>
      </c>
      <c r="B569" s="8">
        <v>1.077666036439263E-3</v>
      </c>
    </row>
    <row r="570" spans="1:2" x14ac:dyDescent="0.25">
      <c r="A570" s="16" t="s">
        <v>760</v>
      </c>
      <c r="B570" s="8">
        <v>1.5973395635393209E-4</v>
      </c>
    </row>
    <row r="571" spans="1:2" x14ac:dyDescent="0.25">
      <c r="A571" s="16" t="s">
        <v>882</v>
      </c>
      <c r="B571" s="8">
        <v>1.3527843030871501E-3</v>
      </c>
    </row>
    <row r="572" spans="1:2" x14ac:dyDescent="0.25">
      <c r="A572" s="16" t="s">
        <v>877</v>
      </c>
      <c r="B572" s="8">
        <v>9.0650362788985666E-4</v>
      </c>
    </row>
    <row r="573" spans="1:2" x14ac:dyDescent="0.25">
      <c r="A573" s="16" t="s">
        <v>769</v>
      </c>
      <c r="B573" s="8">
        <v>6.0300494265858842E-4</v>
      </c>
    </row>
    <row r="574" spans="1:2" x14ac:dyDescent="0.25">
      <c r="A574" s="16" t="s">
        <v>1262</v>
      </c>
      <c r="B574" s="8">
        <v>3.0389278355441455E-3</v>
      </c>
    </row>
    <row r="575" spans="1:2" x14ac:dyDescent="0.25">
      <c r="A575" s="16" t="s">
        <v>1329</v>
      </c>
      <c r="B575" s="8">
        <v>2.8335205335554552E-4</v>
      </c>
    </row>
    <row r="576" spans="1:2" x14ac:dyDescent="0.25">
      <c r="A576" s="16" t="s">
        <v>868</v>
      </c>
      <c r="B576" s="8">
        <v>1.0940045351430622E-3</v>
      </c>
    </row>
    <row r="577" spans="1:2" x14ac:dyDescent="0.25">
      <c r="A577" s="16" t="s">
        <v>1176</v>
      </c>
      <c r="B577" s="8">
        <v>5.4193728539960373E-4</v>
      </c>
    </row>
    <row r="578" spans="1:2" x14ac:dyDescent="0.25">
      <c r="A578" s="16" t="s">
        <v>1076</v>
      </c>
      <c r="B578" s="8">
        <v>1.8234276254945046E-3</v>
      </c>
    </row>
    <row r="579" spans="1:2" x14ac:dyDescent="0.25">
      <c r="A579" s="16" t="s">
        <v>1343</v>
      </c>
      <c r="B579" s="8">
        <v>1.6370614330961243E-3</v>
      </c>
    </row>
    <row r="580" spans="1:2" x14ac:dyDescent="0.25">
      <c r="A580" s="16" t="s">
        <v>872</v>
      </c>
      <c r="B580" s="8">
        <v>3.2341182310704031E-3</v>
      </c>
    </row>
    <row r="581" spans="1:2" x14ac:dyDescent="0.25">
      <c r="A581" s="16" t="s">
        <v>927</v>
      </c>
      <c r="B581" s="8">
        <v>4.0027749853773848E-4</v>
      </c>
    </row>
    <row r="582" spans="1:2" x14ac:dyDescent="0.25">
      <c r="A582" s="16" t="s">
        <v>974</v>
      </c>
      <c r="B582" s="8">
        <v>4.0341567838143356E-4</v>
      </c>
    </row>
    <row r="583" spans="1:2" x14ac:dyDescent="0.25">
      <c r="A583" s="16" t="s">
        <v>1336</v>
      </c>
      <c r="B583" s="8">
        <v>4.9623564465894323E-4</v>
      </c>
    </row>
    <row r="584" spans="1:2" x14ac:dyDescent="0.25">
      <c r="A584" s="16" t="s">
        <v>910</v>
      </c>
      <c r="B584" s="8">
        <v>1.4236181391743968E-3</v>
      </c>
    </row>
    <row r="585" spans="1:2" x14ac:dyDescent="0.25">
      <c r="A585" s="16" t="s">
        <v>1347</v>
      </c>
      <c r="B585" s="8">
        <v>9.5148757333508676E-4</v>
      </c>
    </row>
    <row r="586" spans="1:2" x14ac:dyDescent="0.25">
      <c r="A586" s="16" t="s">
        <v>1071</v>
      </c>
      <c r="B586" s="8">
        <v>3.5040135310528192E-3</v>
      </c>
    </row>
    <row r="587" spans="1:2" x14ac:dyDescent="0.25">
      <c r="A587" s="16" t="s">
        <v>977</v>
      </c>
      <c r="B587" s="8">
        <v>6.8034739235137696E-5</v>
      </c>
    </row>
    <row r="588" spans="1:2" x14ac:dyDescent="0.25">
      <c r="A588" s="16" t="s">
        <v>1340</v>
      </c>
      <c r="B588" s="8">
        <v>2.4880472562457219E-4</v>
      </c>
    </row>
    <row r="589" spans="1:2" x14ac:dyDescent="0.25">
      <c r="A589" s="16" t="s">
        <v>1134</v>
      </c>
      <c r="B589" s="8">
        <v>1.5846245696681178E-3</v>
      </c>
    </row>
    <row r="590" spans="1:2" x14ac:dyDescent="0.25">
      <c r="A590" s="16" t="s">
        <v>952</v>
      </c>
      <c r="B590" s="8">
        <v>5.9427473860400814E-4</v>
      </c>
    </row>
    <row r="591" spans="1:2" x14ac:dyDescent="0.25">
      <c r="A591" s="16" t="s">
        <v>1350</v>
      </c>
      <c r="B591" s="8">
        <v>2.2890346845622737E-3</v>
      </c>
    </row>
    <row r="592" spans="1:2" x14ac:dyDescent="0.25">
      <c r="A592" s="16" t="s">
        <v>1221</v>
      </c>
      <c r="B592" s="8">
        <v>3.6606477830149209E-4</v>
      </c>
    </row>
    <row r="593" spans="1:2" x14ac:dyDescent="0.25">
      <c r="A593" s="16" t="s">
        <v>1151</v>
      </c>
      <c r="B593" s="8">
        <v>6.7417818998901922E-5</v>
      </c>
    </row>
    <row r="594" spans="1:2" x14ac:dyDescent="0.25">
      <c r="A594" s="16" t="s">
        <v>1115</v>
      </c>
      <c r="B594" s="8">
        <v>3.4154787920955068E-3</v>
      </c>
    </row>
    <row r="595" spans="1:2" x14ac:dyDescent="0.25">
      <c r="A595" s="16" t="s">
        <v>942</v>
      </c>
      <c r="B595" s="8">
        <v>1.438978569050563E-3</v>
      </c>
    </row>
    <row r="596" spans="1:2" x14ac:dyDescent="0.25">
      <c r="A596" s="16" t="s">
        <v>1335</v>
      </c>
      <c r="B596" s="8">
        <v>3.6198902460224977E-3</v>
      </c>
    </row>
    <row r="597" spans="1:2" x14ac:dyDescent="0.25">
      <c r="A597" s="16" t="s">
        <v>884</v>
      </c>
      <c r="B597" s="8">
        <v>7.1847129311997094E-4</v>
      </c>
    </row>
    <row r="598" spans="1:2" x14ac:dyDescent="0.25">
      <c r="A598" s="16" t="s">
        <v>741</v>
      </c>
      <c r="B598" s="8">
        <v>6.2292129376288524E-5</v>
      </c>
    </row>
    <row r="599" spans="1:2" x14ac:dyDescent="0.25">
      <c r="A599" s="16" t="s">
        <v>1157</v>
      </c>
      <c r="B599" s="8">
        <v>5.2821806132118156E-3</v>
      </c>
    </row>
    <row r="600" spans="1:2" x14ac:dyDescent="0.25">
      <c r="A600" s="16" t="s">
        <v>850</v>
      </c>
      <c r="B600" s="8">
        <v>6.9650438156067268E-5</v>
      </c>
    </row>
    <row r="601" spans="1:2" x14ac:dyDescent="0.25">
      <c r="A601" s="16" t="s">
        <v>826</v>
      </c>
      <c r="B601" s="8">
        <v>9.2396607552348983E-4</v>
      </c>
    </row>
    <row r="602" spans="1:2" x14ac:dyDescent="0.25">
      <c r="A602" s="16" t="s">
        <v>1035</v>
      </c>
      <c r="B602" s="8">
        <v>8.9712802845486571E-4</v>
      </c>
    </row>
    <row r="603" spans="1:2" x14ac:dyDescent="0.25">
      <c r="A603" s="16" t="s">
        <v>773</v>
      </c>
      <c r="B603" s="8">
        <v>3.2390507232593369E-4</v>
      </c>
    </row>
    <row r="604" spans="1:2" x14ac:dyDescent="0.25">
      <c r="A604" s="16" t="s">
        <v>1292</v>
      </c>
      <c r="B604" s="8">
        <v>1.2049361461518781E-3</v>
      </c>
    </row>
    <row r="605" spans="1:2" x14ac:dyDescent="0.25">
      <c r="A605" s="16" t="s">
        <v>1093</v>
      </c>
      <c r="B605" s="8">
        <v>1.3469892457153361E-3</v>
      </c>
    </row>
    <row r="606" spans="1:2" x14ac:dyDescent="0.25">
      <c r="A606" s="16" t="s">
        <v>1003</v>
      </c>
      <c r="B606" s="8">
        <v>6.9816763513625769E-4</v>
      </c>
    </row>
    <row r="607" spans="1:2" x14ac:dyDescent="0.25">
      <c r="A607" s="16" t="s">
        <v>750</v>
      </c>
      <c r="B607" s="8">
        <v>2.3594483731524591E-3</v>
      </c>
    </row>
    <row r="608" spans="1:2" x14ac:dyDescent="0.25">
      <c r="A608" s="16" t="s">
        <v>1195</v>
      </c>
      <c r="B608" s="8">
        <v>3.6876180982011922E-4</v>
      </c>
    </row>
    <row r="609" spans="1:2" x14ac:dyDescent="0.25">
      <c r="A609" s="16" t="s">
        <v>933</v>
      </c>
      <c r="B609" s="8">
        <v>5.0811241261223385E-3</v>
      </c>
    </row>
    <row r="610" spans="1:2" x14ac:dyDescent="0.25">
      <c r="A610" s="16" t="s">
        <v>963</v>
      </c>
      <c r="B610" s="8">
        <v>6.7710038391828045E-4</v>
      </c>
    </row>
    <row r="611" spans="1:2" x14ac:dyDescent="0.25">
      <c r="A611" s="16" t="s">
        <v>1204</v>
      </c>
      <c r="B611" s="8">
        <v>3.3233818740695449E-3</v>
      </c>
    </row>
    <row r="612" spans="1:2" x14ac:dyDescent="0.25">
      <c r="A612" s="16" t="s">
        <v>887</v>
      </c>
      <c r="B612" s="8">
        <v>2.6964668604098556E-3</v>
      </c>
    </row>
    <row r="613" spans="1:2" x14ac:dyDescent="0.25">
      <c r="A613" s="16" t="s">
        <v>772</v>
      </c>
      <c r="B613" s="8">
        <v>1.3610383304612195E-3</v>
      </c>
    </row>
    <row r="614" spans="1:2" x14ac:dyDescent="0.25">
      <c r="A614" s="16" t="s">
        <v>1084</v>
      </c>
      <c r="B614" s="8">
        <v>3.7571919064308546E-4</v>
      </c>
    </row>
    <row r="615" spans="1:2" x14ac:dyDescent="0.25">
      <c r="A615" s="16" t="s">
        <v>969</v>
      </c>
      <c r="B615" s="8">
        <v>1.578499631260876E-3</v>
      </c>
    </row>
    <row r="616" spans="1:2" x14ac:dyDescent="0.25">
      <c r="A616" s="16" t="s">
        <v>1030</v>
      </c>
      <c r="B616" s="8">
        <v>3.8570754397408306E-4</v>
      </c>
    </row>
    <row r="617" spans="1:2" x14ac:dyDescent="0.25">
      <c r="A617" s="16" t="s">
        <v>1178</v>
      </c>
      <c r="B617" s="8">
        <v>1.750643716677642E-4</v>
      </c>
    </row>
    <row r="618" spans="1:2" x14ac:dyDescent="0.25">
      <c r="A618" s="16" t="s">
        <v>738</v>
      </c>
      <c r="B618" s="8">
        <v>9.963917863762019E-4</v>
      </c>
    </row>
    <row r="619" spans="1:2" x14ac:dyDescent="0.25">
      <c r="A619" s="16" t="s">
        <v>913</v>
      </c>
      <c r="B619" s="8">
        <v>4.0195782847070012E-4</v>
      </c>
    </row>
    <row r="620" spans="1:2" x14ac:dyDescent="0.25">
      <c r="A620" s="16" t="s">
        <v>886</v>
      </c>
      <c r="B620" s="8">
        <v>3.7642663921480583E-4</v>
      </c>
    </row>
    <row r="621" spans="1:2" x14ac:dyDescent="0.25">
      <c r="A621" s="16" t="s">
        <v>747</v>
      </c>
      <c r="B621" s="8">
        <v>1.9627035965122546E-3</v>
      </c>
    </row>
    <row r="622" spans="1:2" x14ac:dyDescent="0.25">
      <c r="A622" s="16" t="s">
        <v>935</v>
      </c>
      <c r="B622" s="8">
        <v>4.2170753778653498E-4</v>
      </c>
    </row>
    <row r="623" spans="1:2" x14ac:dyDescent="0.25">
      <c r="A623" s="16" t="s">
        <v>1107</v>
      </c>
      <c r="B623" s="8">
        <v>3.7439668586775006E-4</v>
      </c>
    </row>
    <row r="624" spans="1:2" x14ac:dyDescent="0.25">
      <c r="A624" s="16" t="s">
        <v>1008</v>
      </c>
      <c r="B624" s="8">
        <v>1.0381687946339809E-3</v>
      </c>
    </row>
    <row r="625" spans="1:2" x14ac:dyDescent="0.25">
      <c r="A625" s="16" t="s">
        <v>1025</v>
      </c>
      <c r="B625" s="8">
        <v>9.9925522236011356E-5</v>
      </c>
    </row>
    <row r="626" spans="1:2" x14ac:dyDescent="0.25">
      <c r="A626" s="16" t="s">
        <v>1119</v>
      </c>
      <c r="B626" s="8">
        <v>8.7171310573317285E-4</v>
      </c>
    </row>
    <row r="627" spans="1:2" x14ac:dyDescent="0.25">
      <c r="A627" s="16" t="s">
        <v>829</v>
      </c>
      <c r="B627" s="8">
        <v>3.9289266793811487E-3</v>
      </c>
    </row>
    <row r="628" spans="1:2" x14ac:dyDescent="0.25">
      <c r="A628" s="16" t="s">
        <v>1342</v>
      </c>
      <c r="B628" s="8">
        <v>9.329310649434494E-4</v>
      </c>
    </row>
    <row r="629" spans="1:2" x14ac:dyDescent="0.25">
      <c r="A629" s="16" t="s">
        <v>735</v>
      </c>
      <c r="B629" s="8">
        <v>1.633113758442195E-3</v>
      </c>
    </row>
    <row r="630" spans="1:2" x14ac:dyDescent="0.25">
      <c r="A630" s="16" t="s">
        <v>1139</v>
      </c>
      <c r="B630" s="8">
        <v>2.0419926154626161E-3</v>
      </c>
    </row>
    <row r="631" spans="1:2" x14ac:dyDescent="0.25">
      <c r="A631" s="16" t="s">
        <v>1203</v>
      </c>
      <c r="B631" s="8">
        <v>9.4820678499376134E-4</v>
      </c>
    </row>
    <row r="632" spans="1:2" x14ac:dyDescent="0.25">
      <c r="A632" s="16" t="s">
        <v>1090</v>
      </c>
      <c r="B632" s="8">
        <v>3.9924796331479873E-3</v>
      </c>
    </row>
    <row r="633" spans="1:2" x14ac:dyDescent="0.25">
      <c r="A633" s="16" t="s">
        <v>1177</v>
      </c>
      <c r="B633" s="8">
        <v>1.9699133109764792E-3</v>
      </c>
    </row>
    <row r="634" spans="1:2" x14ac:dyDescent="0.25">
      <c r="A634" s="16" t="s">
        <v>1280</v>
      </c>
      <c r="B634" s="8">
        <v>2.893526374183642E-3</v>
      </c>
    </row>
    <row r="635" spans="1:2" x14ac:dyDescent="0.25">
      <c r="A635" s="16" t="s">
        <v>815</v>
      </c>
      <c r="B635" s="8">
        <v>1.6602500570951635E-3</v>
      </c>
    </row>
    <row r="636" spans="1:2" x14ac:dyDescent="0.25">
      <c r="A636" s="16" t="s">
        <v>777</v>
      </c>
      <c r="B636" s="8">
        <v>9.6986339422514196E-4</v>
      </c>
    </row>
    <row r="637" spans="1:2" x14ac:dyDescent="0.25">
      <c r="A637" s="16" t="s">
        <v>1333</v>
      </c>
      <c r="B637" s="8">
        <v>6.7889944818277665E-4</v>
      </c>
    </row>
    <row r="638" spans="1:2" x14ac:dyDescent="0.25">
      <c r="A638" s="16" t="s">
        <v>1330</v>
      </c>
      <c r="B638" s="8">
        <v>4.0095040522106614E-4</v>
      </c>
    </row>
    <row r="639" spans="1:2" x14ac:dyDescent="0.25">
      <c r="A639" s="16" t="s">
        <v>1088</v>
      </c>
      <c r="B639" s="8">
        <v>1.020298350268123E-4</v>
      </c>
    </row>
    <row r="640" spans="1:2" x14ac:dyDescent="0.25">
      <c r="A640" s="16" t="s">
        <v>1148</v>
      </c>
      <c r="B640" s="8">
        <v>1.6741202856378546E-3</v>
      </c>
    </row>
    <row r="641" spans="1:2" x14ac:dyDescent="0.25">
      <c r="A641" s="4" t="s">
        <v>1439</v>
      </c>
      <c r="B641" s="8">
        <v>0</v>
      </c>
    </row>
    <row r="642" spans="1:2" x14ac:dyDescent="0.25">
      <c r="A642" s="16" t="s">
        <v>1431</v>
      </c>
      <c r="B642" s="8">
        <v>0</v>
      </c>
    </row>
    <row r="643" spans="1:2" x14ac:dyDescent="0.25">
      <c r="A643" s="16" t="s">
        <v>1432</v>
      </c>
      <c r="B643" s="8">
        <v>0</v>
      </c>
    </row>
    <row r="644" spans="1:2" x14ac:dyDescent="0.25">
      <c r="A644" s="16" t="s">
        <v>1439</v>
      </c>
      <c r="B644" s="8">
        <v>0</v>
      </c>
    </row>
    <row r="645" spans="1:2" x14ac:dyDescent="0.25">
      <c r="A645" s="4" t="s">
        <v>1422</v>
      </c>
      <c r="B645" s="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E0738-0441-4693-9070-B2CD8D0D0022}">
  <dimension ref="A1:V636"/>
  <sheetViews>
    <sheetView topLeftCell="I1" workbookViewId="0">
      <pane ySplit="1" topLeftCell="A3" activePane="bottomLeft" state="frozen"/>
      <selection pane="bottomLeft" activeCell="M2" sqref="M2:M636"/>
    </sheetView>
  </sheetViews>
  <sheetFormatPr defaultRowHeight="15" x14ac:dyDescent="0.25"/>
  <cols>
    <col min="1" max="1" width="16.42578125" bestFit="1" customWidth="1"/>
    <col min="2" max="2" width="14.85546875" style="14" bestFit="1" customWidth="1"/>
    <col min="3" max="3" width="18" style="14" bestFit="1" customWidth="1"/>
    <col min="4" max="4" width="18.42578125" style="7" bestFit="1" customWidth="1"/>
    <col min="5" max="5" width="18.42578125" style="7" customWidth="1"/>
    <col min="6" max="6" width="11.7109375" bestFit="1" customWidth="1"/>
    <col min="7" max="7" width="15.42578125" bestFit="1" customWidth="1"/>
    <col min="8" max="8" width="13.5703125" bestFit="1" customWidth="1"/>
    <col min="9" max="9" width="22.28515625" bestFit="1" customWidth="1"/>
    <col min="10" max="10" width="12.85546875" bestFit="1" customWidth="1"/>
    <col min="11" max="11" width="16.28515625" bestFit="1" customWidth="1"/>
    <col min="12" max="12" width="20.42578125" bestFit="1" customWidth="1"/>
    <col min="13" max="13" width="20.42578125" customWidth="1"/>
    <col min="14" max="14" width="10.28515625" bestFit="1" customWidth="1"/>
    <col min="15" max="15" width="13.28515625" style="7" bestFit="1" customWidth="1"/>
    <col min="16" max="16" width="13.85546875" style="7" bestFit="1" customWidth="1"/>
    <col min="17" max="17" width="16" style="12" bestFit="1" customWidth="1"/>
    <col min="18" max="18" width="13.28515625" bestFit="1" customWidth="1"/>
    <col min="19" max="19" width="16.28515625" bestFit="1" customWidth="1"/>
    <col min="20" max="20" width="16" bestFit="1" customWidth="1"/>
    <col min="21" max="21" width="13.7109375" bestFit="1" customWidth="1"/>
    <col min="22" max="22" width="12.7109375" bestFit="1" customWidth="1"/>
  </cols>
  <sheetData>
    <row r="1" spans="1:22" x14ac:dyDescent="0.25">
      <c r="A1" s="1" t="s">
        <v>0</v>
      </c>
      <c r="B1" s="13" t="s">
        <v>1</v>
      </c>
      <c r="C1" s="13" t="s">
        <v>2</v>
      </c>
      <c r="D1" s="6" t="s">
        <v>1433</v>
      </c>
      <c r="E1" s="6" t="s">
        <v>1438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1445</v>
      </c>
      <c r="N1" s="1" t="s">
        <v>10</v>
      </c>
      <c r="O1" s="6" t="s">
        <v>11</v>
      </c>
      <c r="P1" s="6" t="s">
        <v>12</v>
      </c>
      <c r="Q1" s="11" t="s">
        <v>13</v>
      </c>
      <c r="R1" s="1" t="s">
        <v>14</v>
      </c>
      <c r="S1" s="9" t="s">
        <v>1434</v>
      </c>
      <c r="T1" s="9" t="s">
        <v>1435</v>
      </c>
      <c r="U1" s="9" t="s">
        <v>1436</v>
      </c>
      <c r="V1" s="10" t="s">
        <v>1437</v>
      </c>
    </row>
    <row r="2" spans="1:22" x14ac:dyDescent="0.25">
      <c r="A2" t="s">
        <v>102</v>
      </c>
      <c r="B2" s="14">
        <v>45876</v>
      </c>
      <c r="C2" s="14">
        <v>45888</v>
      </c>
      <c r="D2" s="7">
        <f>C2-B2</f>
        <v>12</v>
      </c>
      <c r="E2" s="5" t="str">
        <f>IF(AND(MONTH(B2)&gt;=1,MONTH(B2)&lt;=3),"Q1", IF(AND(MONTH(B2)&gt;=4,MONTH(B2)&lt;=6), "Q2", IF(AND(MONTH(B2)&gt;=7,MONTH(B2)&lt;=9),"Q3", IF(AND(MONTH(B2)&gt;=10,MONTH(B2)&lt;=12),"Q4"))))</f>
        <v>Q3</v>
      </c>
      <c r="F2" t="s">
        <v>646</v>
      </c>
      <c r="G2" t="s">
        <v>650</v>
      </c>
      <c r="H2" t="s">
        <v>678</v>
      </c>
      <c r="I2" t="s">
        <v>701</v>
      </c>
      <c r="J2" t="s">
        <v>707</v>
      </c>
      <c r="K2" t="s">
        <v>724</v>
      </c>
      <c r="L2" t="s">
        <v>727</v>
      </c>
      <c r="M2">
        <f>(S2/$S$634)*100</f>
        <v>1.5047713398683382E-2</v>
      </c>
      <c r="N2" t="s">
        <v>821</v>
      </c>
      <c r="O2" s="7">
        <v>601.51</v>
      </c>
      <c r="P2" s="7">
        <v>679.35</v>
      </c>
      <c r="Q2" s="12">
        <v>0.188</v>
      </c>
      <c r="R2">
        <v>3</v>
      </c>
      <c r="S2">
        <f t="shared" ref="S2:S65" si="0">P2*R2*(1-Q2)</f>
        <v>1654.8966000000003</v>
      </c>
      <c r="T2">
        <f t="shared" ref="T2:T65" si="1">O2*R2</f>
        <v>1804.53</v>
      </c>
      <c r="U2">
        <f t="shared" ref="U2:U65" si="2">S2-T2</f>
        <v>-149.63339999999971</v>
      </c>
      <c r="V2">
        <f t="shared" ref="V2:V65" si="3">IF(S2=0,0,U2/S2)</f>
        <v>-9.0418579626062243E-2</v>
      </c>
    </row>
    <row r="3" spans="1:22" x14ac:dyDescent="0.25">
      <c r="A3" t="s">
        <v>478</v>
      </c>
      <c r="B3" s="14">
        <v>45757</v>
      </c>
      <c r="C3" s="14">
        <v>45766</v>
      </c>
      <c r="D3" s="7">
        <f>C3-B3</f>
        <v>9</v>
      </c>
      <c r="E3" s="5" t="str">
        <f t="shared" ref="E3:E66" si="4">IF(AND(MONTH(B3)&gt;=1,MONTH(B3)&lt;=3),"Q1", IF(AND(MONTH(B3)&gt;=4,MONTH(B3)&lt;=6), "Q2", IF(AND(MONTH(B3)&gt;=7,MONTH(B3)&lt;=9),"Q3", IF(AND(MONTH(B3)&gt;=10,MONTH(B3)&lt;=12),"Q4"))))</f>
        <v>Q2</v>
      </c>
      <c r="F3" t="s">
        <v>646</v>
      </c>
      <c r="G3" t="s">
        <v>661</v>
      </c>
      <c r="H3" t="s">
        <v>687</v>
      </c>
      <c r="I3" t="s">
        <v>706</v>
      </c>
      <c r="J3" t="s">
        <v>707</v>
      </c>
      <c r="K3" t="s">
        <v>715</v>
      </c>
      <c r="L3" t="s">
        <v>729</v>
      </c>
      <c r="M3">
        <f t="shared" ref="M3:M66" si="5">(S3/$S$634)*100</f>
        <v>1.7158116575091753E-2</v>
      </c>
      <c r="N3" t="s">
        <v>1196</v>
      </c>
      <c r="O3" s="7">
        <v>113.74</v>
      </c>
      <c r="P3" s="7">
        <v>165.7</v>
      </c>
      <c r="Q3" s="12">
        <v>0.124</v>
      </c>
      <c r="R3">
        <v>13</v>
      </c>
      <c r="S3">
        <f t="shared" si="0"/>
        <v>1886.9915999999998</v>
      </c>
      <c r="T3">
        <f t="shared" si="1"/>
        <v>1478.62</v>
      </c>
      <c r="U3">
        <f t="shared" si="2"/>
        <v>408.37159999999994</v>
      </c>
      <c r="V3">
        <f t="shared" si="3"/>
        <v>0.21641410592394794</v>
      </c>
    </row>
    <row r="4" spans="1:22" x14ac:dyDescent="0.25">
      <c r="A4" t="s">
        <v>622</v>
      </c>
      <c r="B4" s="14">
        <v>45827</v>
      </c>
      <c r="C4" s="14">
        <v>45829</v>
      </c>
      <c r="D4" s="7">
        <f>C4-B4</f>
        <v>2</v>
      </c>
      <c r="E4" s="5" t="str">
        <f t="shared" si="4"/>
        <v>Q2</v>
      </c>
      <c r="F4" t="s">
        <v>646</v>
      </c>
      <c r="G4" t="s">
        <v>661</v>
      </c>
      <c r="H4" t="s">
        <v>682</v>
      </c>
      <c r="I4" t="s">
        <v>705</v>
      </c>
      <c r="J4" t="s">
        <v>710</v>
      </c>
      <c r="K4" t="s">
        <v>722</v>
      </c>
      <c r="L4" t="s">
        <v>730</v>
      </c>
      <c r="M4">
        <f t="shared" si="5"/>
        <v>0.26528399452612411</v>
      </c>
      <c r="N4" t="s">
        <v>1339</v>
      </c>
      <c r="O4" s="7">
        <v>1466.27</v>
      </c>
      <c r="P4" s="7">
        <v>3589.89</v>
      </c>
      <c r="Q4" s="12">
        <v>9.7000000000000003E-2</v>
      </c>
      <c r="R4">
        <v>9</v>
      </c>
      <c r="S4">
        <f t="shared" si="0"/>
        <v>29175.036029999999</v>
      </c>
      <c r="T4">
        <f t="shared" si="1"/>
        <v>13196.43</v>
      </c>
      <c r="U4">
        <f t="shared" si="2"/>
        <v>15978.606029999999</v>
      </c>
      <c r="V4">
        <f t="shared" si="3"/>
        <v>0.54768076425234147</v>
      </c>
    </row>
    <row r="5" spans="1:22" x14ac:dyDescent="0.25">
      <c r="A5" t="s">
        <v>218</v>
      </c>
      <c r="B5" s="14">
        <v>44946</v>
      </c>
      <c r="C5" s="14">
        <v>44960</v>
      </c>
      <c r="D5" s="7">
        <f>C5-B5</f>
        <v>14</v>
      </c>
      <c r="E5" s="5" t="str">
        <f t="shared" si="4"/>
        <v>Q1</v>
      </c>
      <c r="F5" t="s">
        <v>646</v>
      </c>
      <c r="G5" t="s">
        <v>650</v>
      </c>
      <c r="H5" t="s">
        <v>662</v>
      </c>
      <c r="I5" t="s">
        <v>701</v>
      </c>
      <c r="J5" t="s">
        <v>710</v>
      </c>
      <c r="K5" t="s">
        <v>724</v>
      </c>
      <c r="L5" t="s">
        <v>729</v>
      </c>
      <c r="M5">
        <f t="shared" si="5"/>
        <v>0.43611741541183474</v>
      </c>
      <c r="N5" t="s">
        <v>937</v>
      </c>
      <c r="O5" s="7">
        <v>884.36</v>
      </c>
      <c r="P5" s="7">
        <v>1545.34</v>
      </c>
      <c r="Q5" s="12">
        <v>0.24299999999999999</v>
      </c>
      <c r="R5">
        <v>41</v>
      </c>
      <c r="S5">
        <f t="shared" si="0"/>
        <v>47962.717579999997</v>
      </c>
      <c r="T5">
        <f t="shared" si="1"/>
        <v>36258.76</v>
      </c>
      <c r="U5">
        <f t="shared" si="2"/>
        <v>11703.957579999995</v>
      </c>
      <c r="V5">
        <f t="shared" si="3"/>
        <v>0.24402198562827965</v>
      </c>
    </row>
    <row r="6" spans="1:22" x14ac:dyDescent="0.25">
      <c r="A6" t="s">
        <v>83</v>
      </c>
      <c r="B6" s="14">
        <v>45157</v>
      </c>
      <c r="C6" s="14">
        <v>45176</v>
      </c>
      <c r="D6" s="7">
        <f>C6-B6</f>
        <v>19</v>
      </c>
      <c r="E6" s="5" t="str">
        <f t="shared" si="4"/>
        <v>Q3</v>
      </c>
      <c r="F6" t="s">
        <v>646</v>
      </c>
      <c r="G6" t="s">
        <v>661</v>
      </c>
      <c r="H6" t="s">
        <v>682</v>
      </c>
      <c r="I6" t="s">
        <v>706</v>
      </c>
      <c r="J6" t="s">
        <v>709</v>
      </c>
      <c r="K6" t="s">
        <v>726</v>
      </c>
      <c r="L6" t="s">
        <v>732</v>
      </c>
      <c r="M6">
        <f t="shared" si="5"/>
        <v>7.8850720685706602E-2</v>
      </c>
      <c r="N6" t="s">
        <v>802</v>
      </c>
      <c r="O6" s="7">
        <v>494.61</v>
      </c>
      <c r="P6" s="7">
        <v>605.23</v>
      </c>
      <c r="Q6" s="12">
        <v>0.20399999999999999</v>
      </c>
      <c r="R6">
        <v>18</v>
      </c>
      <c r="S6">
        <f t="shared" si="0"/>
        <v>8671.7354400000004</v>
      </c>
      <c r="T6">
        <f t="shared" si="1"/>
        <v>8902.98</v>
      </c>
      <c r="U6">
        <f t="shared" si="2"/>
        <v>-231.24455999999918</v>
      </c>
      <c r="V6">
        <f t="shared" si="3"/>
        <v>-2.6666468505639647E-2</v>
      </c>
    </row>
    <row r="7" spans="1:22" x14ac:dyDescent="0.25">
      <c r="A7" t="s">
        <v>223</v>
      </c>
      <c r="B7" s="14">
        <v>45545</v>
      </c>
      <c r="C7" s="14">
        <v>45572</v>
      </c>
      <c r="D7" s="7">
        <f>C7-B7</f>
        <v>27</v>
      </c>
      <c r="E7" s="5" t="str">
        <f t="shared" si="4"/>
        <v>Q3</v>
      </c>
      <c r="F7" t="s">
        <v>646</v>
      </c>
      <c r="G7" t="s">
        <v>650</v>
      </c>
      <c r="H7" t="s">
        <v>662</v>
      </c>
      <c r="I7" t="s">
        <v>704</v>
      </c>
      <c r="J7" t="s">
        <v>708</v>
      </c>
      <c r="K7" t="s">
        <v>716</v>
      </c>
      <c r="L7" t="s">
        <v>728</v>
      </c>
      <c r="M7">
        <f t="shared" si="5"/>
        <v>0.14389785690505646</v>
      </c>
      <c r="N7" t="s">
        <v>942</v>
      </c>
      <c r="O7" s="7">
        <v>1248.3900000000001</v>
      </c>
      <c r="P7" s="7">
        <v>1805.11</v>
      </c>
      <c r="Q7" s="12">
        <v>0.20300000000000001</v>
      </c>
      <c r="R7">
        <v>11</v>
      </c>
      <c r="S7">
        <f t="shared" si="0"/>
        <v>15825.399369999997</v>
      </c>
      <c r="T7">
        <f t="shared" si="1"/>
        <v>13732.29</v>
      </c>
      <c r="U7">
        <f t="shared" si="2"/>
        <v>2093.1093699999965</v>
      </c>
      <c r="V7">
        <f t="shared" si="3"/>
        <v>0.13226265707820786</v>
      </c>
    </row>
    <row r="8" spans="1:22" x14ac:dyDescent="0.25">
      <c r="A8" t="s">
        <v>304</v>
      </c>
      <c r="B8" s="14">
        <v>45125</v>
      </c>
      <c r="C8" s="14">
        <v>45148</v>
      </c>
      <c r="D8" s="7">
        <f>C8-B8</f>
        <v>23</v>
      </c>
      <c r="E8" s="5" t="str">
        <f t="shared" si="4"/>
        <v>Q3</v>
      </c>
      <c r="F8" t="s">
        <v>646</v>
      </c>
      <c r="G8" t="s">
        <v>661</v>
      </c>
      <c r="H8" t="s">
        <v>682</v>
      </c>
      <c r="I8" t="s">
        <v>705</v>
      </c>
      <c r="J8" t="s">
        <v>709</v>
      </c>
      <c r="K8" t="s">
        <v>716</v>
      </c>
      <c r="L8" t="s">
        <v>727</v>
      </c>
      <c r="M8">
        <f t="shared" si="5"/>
        <v>9.5078547135449484E-2</v>
      </c>
      <c r="N8" t="s">
        <v>1023</v>
      </c>
      <c r="O8" s="7">
        <v>1271.56</v>
      </c>
      <c r="P8" s="7">
        <v>995.47</v>
      </c>
      <c r="Q8" s="12">
        <v>0.192</v>
      </c>
      <c r="R8">
        <v>13</v>
      </c>
      <c r="S8">
        <f t="shared" si="0"/>
        <v>10456.416880000001</v>
      </c>
      <c r="T8">
        <f t="shared" si="1"/>
        <v>16530.28</v>
      </c>
      <c r="U8">
        <f t="shared" si="2"/>
        <v>-6073.8631199999982</v>
      </c>
      <c r="V8">
        <f t="shared" si="3"/>
        <v>-0.58087423155607754</v>
      </c>
    </row>
    <row r="9" spans="1:22" x14ac:dyDescent="0.25">
      <c r="A9" t="s">
        <v>169</v>
      </c>
      <c r="B9" s="14">
        <v>45230</v>
      </c>
      <c r="C9" s="14">
        <v>45232</v>
      </c>
      <c r="D9" s="7">
        <f>C9-B9</f>
        <v>2</v>
      </c>
      <c r="E9" s="5" t="str">
        <f t="shared" si="4"/>
        <v>Q4</v>
      </c>
      <c r="F9" t="s">
        <v>646</v>
      </c>
      <c r="G9" t="s">
        <v>650</v>
      </c>
      <c r="H9" t="s">
        <v>662</v>
      </c>
      <c r="I9" t="s">
        <v>702</v>
      </c>
      <c r="J9" t="s">
        <v>710</v>
      </c>
      <c r="K9" t="s">
        <v>719</v>
      </c>
      <c r="L9" t="s">
        <v>733</v>
      </c>
      <c r="M9">
        <f t="shared" si="5"/>
        <v>0.10016229620594796</v>
      </c>
      <c r="N9" t="s">
        <v>888</v>
      </c>
      <c r="O9" s="7">
        <v>867.89</v>
      </c>
      <c r="P9" s="7">
        <v>1349.94</v>
      </c>
      <c r="Q9" s="12">
        <v>0.184</v>
      </c>
      <c r="R9">
        <v>10</v>
      </c>
      <c r="S9">
        <f t="shared" si="0"/>
        <v>11015.510400000003</v>
      </c>
      <c r="T9">
        <f t="shared" si="1"/>
        <v>8678.9</v>
      </c>
      <c r="U9">
        <f t="shared" si="2"/>
        <v>2336.6104000000032</v>
      </c>
      <c r="V9">
        <f t="shared" si="3"/>
        <v>0.21212003031652557</v>
      </c>
    </row>
    <row r="10" spans="1:22" x14ac:dyDescent="0.25">
      <c r="A10" t="s">
        <v>334</v>
      </c>
      <c r="B10" s="14">
        <v>45008</v>
      </c>
      <c r="C10" s="14">
        <v>45031</v>
      </c>
      <c r="D10" s="7">
        <f>C10-B10</f>
        <v>23</v>
      </c>
      <c r="E10" s="5" t="str">
        <f t="shared" si="4"/>
        <v>Q1</v>
      </c>
      <c r="F10" t="s">
        <v>646</v>
      </c>
      <c r="G10" t="s">
        <v>650</v>
      </c>
      <c r="H10" t="s">
        <v>675</v>
      </c>
      <c r="I10" t="s">
        <v>705</v>
      </c>
      <c r="J10" t="s">
        <v>711</v>
      </c>
      <c r="K10" t="s">
        <v>712</v>
      </c>
      <c r="L10" t="s">
        <v>733</v>
      </c>
      <c r="M10">
        <f t="shared" si="5"/>
        <v>0.48223309653311947</v>
      </c>
      <c r="N10" t="s">
        <v>1053</v>
      </c>
      <c r="O10" s="7">
        <v>875.36</v>
      </c>
      <c r="P10" s="7">
        <v>1178.6199999999999</v>
      </c>
      <c r="Q10" s="12">
        <v>0.151</v>
      </c>
      <c r="R10">
        <v>53</v>
      </c>
      <c r="S10">
        <f t="shared" si="0"/>
        <v>53034.364139999991</v>
      </c>
      <c r="T10">
        <f t="shared" si="1"/>
        <v>46394.080000000002</v>
      </c>
      <c r="U10">
        <f t="shared" si="2"/>
        <v>6640.2841399999888</v>
      </c>
      <c r="V10">
        <f t="shared" si="3"/>
        <v>0.12520719815685888</v>
      </c>
    </row>
    <row r="11" spans="1:22" x14ac:dyDescent="0.25">
      <c r="A11" t="s">
        <v>222</v>
      </c>
      <c r="B11" s="14">
        <v>45678</v>
      </c>
      <c r="C11" s="14">
        <v>45702</v>
      </c>
      <c r="D11" s="7">
        <f>C11-B11</f>
        <v>24</v>
      </c>
      <c r="E11" s="5" t="str">
        <f t="shared" si="4"/>
        <v>Q1</v>
      </c>
      <c r="F11" t="s">
        <v>646</v>
      </c>
      <c r="G11" t="s">
        <v>650</v>
      </c>
      <c r="H11" t="s">
        <v>664</v>
      </c>
      <c r="I11" t="s">
        <v>705</v>
      </c>
      <c r="J11" t="s">
        <v>709</v>
      </c>
      <c r="K11" t="s">
        <v>713</v>
      </c>
      <c r="L11" t="s">
        <v>733</v>
      </c>
      <c r="M11">
        <f t="shared" si="5"/>
        <v>0.25810955856142714</v>
      </c>
      <c r="N11" t="s">
        <v>941</v>
      </c>
      <c r="O11" s="7">
        <v>1030.44</v>
      </c>
      <c r="P11" s="7">
        <v>2562.84</v>
      </c>
      <c r="Q11" s="12">
        <v>0.14799999999999999</v>
      </c>
      <c r="R11">
        <v>13</v>
      </c>
      <c r="S11">
        <f t="shared" si="0"/>
        <v>28386.015839999996</v>
      </c>
      <c r="T11">
        <f t="shared" si="1"/>
        <v>13395.720000000001</v>
      </c>
      <c r="U11">
        <f t="shared" si="2"/>
        <v>14990.295839999995</v>
      </c>
      <c r="V11">
        <f t="shared" si="3"/>
        <v>0.52808734852027039</v>
      </c>
    </row>
    <row r="12" spans="1:22" x14ac:dyDescent="0.25">
      <c r="A12" t="s">
        <v>305</v>
      </c>
      <c r="B12" s="14">
        <v>45897</v>
      </c>
      <c r="C12" s="15">
        <v>45895</v>
      </c>
      <c r="D12" s="7">
        <f>C12-B12</f>
        <v>-2</v>
      </c>
      <c r="E12" s="5" t="str">
        <f t="shared" si="4"/>
        <v>Q3</v>
      </c>
      <c r="F12" t="s">
        <v>646</v>
      </c>
      <c r="G12" t="s">
        <v>651</v>
      </c>
      <c r="H12" t="s">
        <v>663</v>
      </c>
      <c r="I12" t="s">
        <v>705</v>
      </c>
      <c r="J12" t="s">
        <v>707</v>
      </c>
      <c r="K12" t="s">
        <v>720</v>
      </c>
      <c r="L12" t="s">
        <v>733</v>
      </c>
      <c r="M12">
        <f t="shared" si="5"/>
        <v>0.17336453867973897</v>
      </c>
      <c r="N12" t="s">
        <v>1024</v>
      </c>
      <c r="O12" s="7">
        <v>521.05999999999995</v>
      </c>
      <c r="P12" s="7">
        <v>1240.31</v>
      </c>
      <c r="Q12" s="12">
        <v>0.14599999999999999</v>
      </c>
      <c r="R12">
        <v>18</v>
      </c>
      <c r="S12">
        <f t="shared" si="0"/>
        <v>19066.045319999997</v>
      </c>
      <c r="T12">
        <f t="shared" si="1"/>
        <v>9379.0799999999981</v>
      </c>
      <c r="U12">
        <f t="shared" si="2"/>
        <v>9686.9653199999993</v>
      </c>
      <c r="V12">
        <f t="shared" si="3"/>
        <v>0.50807417885650974</v>
      </c>
    </row>
    <row r="13" spans="1:22" x14ac:dyDescent="0.25">
      <c r="A13" t="s">
        <v>392</v>
      </c>
      <c r="B13" s="14">
        <v>44998</v>
      </c>
      <c r="C13" s="14">
        <v>45020</v>
      </c>
      <c r="D13" s="7">
        <f>C13-B13</f>
        <v>22</v>
      </c>
      <c r="E13" s="5" t="str">
        <f t="shared" si="4"/>
        <v>Q1</v>
      </c>
      <c r="F13" t="s">
        <v>646</v>
      </c>
      <c r="G13" t="s">
        <v>661</v>
      </c>
      <c r="H13" t="s">
        <v>687</v>
      </c>
      <c r="I13" t="s">
        <v>705</v>
      </c>
      <c r="J13" t="s">
        <v>710</v>
      </c>
      <c r="K13" t="s">
        <v>720</v>
      </c>
      <c r="L13" t="s">
        <v>727</v>
      </c>
      <c r="M13">
        <f t="shared" si="5"/>
        <v>0.13956332846803021</v>
      </c>
      <c r="N13" t="s">
        <v>1111</v>
      </c>
      <c r="O13" s="7">
        <v>1113.7</v>
      </c>
      <c r="P13" s="7">
        <v>1620.6</v>
      </c>
      <c r="Q13" s="12">
        <v>0.13900000000000001</v>
      </c>
      <c r="R13">
        <v>11</v>
      </c>
      <c r="S13">
        <f t="shared" si="0"/>
        <v>15348.702599999999</v>
      </c>
      <c r="T13">
        <f t="shared" si="1"/>
        <v>12250.7</v>
      </c>
      <c r="U13">
        <f t="shared" si="2"/>
        <v>3098.002599999998</v>
      </c>
      <c r="V13">
        <f t="shared" si="3"/>
        <v>0.20184133348182787</v>
      </c>
    </row>
    <row r="14" spans="1:22" x14ac:dyDescent="0.25">
      <c r="A14" t="s">
        <v>595</v>
      </c>
      <c r="B14" s="14">
        <v>45849</v>
      </c>
      <c r="C14" s="14">
        <v>45872</v>
      </c>
      <c r="D14" s="7">
        <f>C14-B14</f>
        <v>23</v>
      </c>
      <c r="E14" s="5" t="str">
        <f t="shared" si="4"/>
        <v>Q3</v>
      </c>
      <c r="F14" t="s">
        <v>646</v>
      </c>
      <c r="G14" t="s">
        <v>650</v>
      </c>
      <c r="H14" t="s">
        <v>678</v>
      </c>
      <c r="I14" t="s">
        <v>705</v>
      </c>
      <c r="J14" t="s">
        <v>711</v>
      </c>
      <c r="K14" t="s">
        <v>712</v>
      </c>
      <c r="L14" t="s">
        <v>730</v>
      </c>
      <c r="M14">
        <f t="shared" si="5"/>
        <v>6.5225995605037071E-2</v>
      </c>
      <c r="N14" t="s">
        <v>1312</v>
      </c>
      <c r="O14" s="7">
        <v>389.93</v>
      </c>
      <c r="P14" s="7">
        <v>486.13</v>
      </c>
      <c r="Q14" s="12">
        <v>0.13200000000000001</v>
      </c>
      <c r="R14">
        <v>17</v>
      </c>
      <c r="S14">
        <f t="shared" si="0"/>
        <v>7173.3342799999991</v>
      </c>
      <c r="T14">
        <f t="shared" si="1"/>
        <v>6628.81</v>
      </c>
      <c r="U14">
        <f t="shared" si="2"/>
        <v>544.52427999999873</v>
      </c>
      <c r="V14">
        <f t="shared" si="3"/>
        <v>7.5909508569562828E-2</v>
      </c>
    </row>
    <row r="15" spans="1:22" x14ac:dyDescent="0.25">
      <c r="A15" t="s">
        <v>17</v>
      </c>
      <c r="B15" s="14">
        <v>44985</v>
      </c>
      <c r="C15" s="14">
        <v>45010</v>
      </c>
      <c r="D15" s="7">
        <f>C15-B15</f>
        <v>25</v>
      </c>
      <c r="E15" s="5" t="str">
        <f t="shared" si="4"/>
        <v>Q1</v>
      </c>
      <c r="F15" t="s">
        <v>646</v>
      </c>
      <c r="G15" t="s">
        <v>650</v>
      </c>
      <c r="H15" t="s">
        <v>664</v>
      </c>
      <c r="I15" t="s">
        <v>701</v>
      </c>
      <c r="J15" t="s">
        <v>708</v>
      </c>
      <c r="K15" t="s">
        <v>714</v>
      </c>
      <c r="L15" t="s">
        <v>729</v>
      </c>
      <c r="M15">
        <f t="shared" si="5"/>
        <v>7.6243939989024734E-2</v>
      </c>
      <c r="N15" t="s">
        <v>736</v>
      </c>
      <c r="O15" s="7">
        <v>1460.76</v>
      </c>
      <c r="P15" s="7">
        <v>804.09</v>
      </c>
      <c r="Q15" s="12">
        <v>0.13100000000000001</v>
      </c>
      <c r="R15">
        <v>12</v>
      </c>
      <c r="S15">
        <f t="shared" si="0"/>
        <v>8385.0505200000007</v>
      </c>
      <c r="T15">
        <f t="shared" si="1"/>
        <v>17529.12</v>
      </c>
      <c r="U15">
        <f t="shared" si="2"/>
        <v>-9144.0694799999983</v>
      </c>
      <c r="V15">
        <f t="shared" si="3"/>
        <v>-1.090520499332662</v>
      </c>
    </row>
    <row r="16" spans="1:22" x14ac:dyDescent="0.25">
      <c r="A16" t="s">
        <v>79</v>
      </c>
      <c r="B16" s="14">
        <v>44972</v>
      </c>
      <c r="C16" s="14">
        <v>44983</v>
      </c>
      <c r="D16" s="7">
        <f>C16-B16</f>
        <v>11</v>
      </c>
      <c r="E16" s="5" t="str">
        <f t="shared" si="4"/>
        <v>Q1</v>
      </c>
      <c r="F16" t="s">
        <v>646</v>
      </c>
      <c r="G16" t="s">
        <v>661</v>
      </c>
      <c r="H16" t="s">
        <v>682</v>
      </c>
      <c r="I16" t="s">
        <v>703</v>
      </c>
      <c r="J16" t="s">
        <v>710</v>
      </c>
      <c r="K16" t="s">
        <v>723</v>
      </c>
      <c r="L16" t="s">
        <v>731</v>
      </c>
      <c r="M16">
        <f t="shared" si="5"/>
        <v>0.23918062699981721</v>
      </c>
      <c r="N16" t="s">
        <v>798</v>
      </c>
      <c r="O16" s="7">
        <v>498.5</v>
      </c>
      <c r="P16" s="7">
        <v>755.87</v>
      </c>
      <c r="Q16" s="12">
        <v>0.13</v>
      </c>
      <c r="R16">
        <v>40</v>
      </c>
      <c r="S16">
        <f t="shared" si="0"/>
        <v>26304.275999999998</v>
      </c>
      <c r="T16">
        <f t="shared" si="1"/>
        <v>19940</v>
      </c>
      <c r="U16">
        <f t="shared" si="2"/>
        <v>6364.275999999998</v>
      </c>
      <c r="V16">
        <f t="shared" si="3"/>
        <v>0.24194834330357537</v>
      </c>
    </row>
    <row r="17" spans="1:22" x14ac:dyDescent="0.25">
      <c r="A17" t="s">
        <v>476</v>
      </c>
      <c r="B17" s="14">
        <v>45063</v>
      </c>
      <c r="C17" s="14">
        <v>45092</v>
      </c>
      <c r="D17" s="7">
        <f>C17-B17</f>
        <v>29</v>
      </c>
      <c r="E17" s="5" t="str">
        <f t="shared" si="4"/>
        <v>Q2</v>
      </c>
      <c r="F17" t="s">
        <v>646</v>
      </c>
      <c r="G17" t="s">
        <v>661</v>
      </c>
      <c r="H17" t="s">
        <v>687</v>
      </c>
      <c r="I17" t="s">
        <v>706</v>
      </c>
      <c r="J17" t="s">
        <v>709</v>
      </c>
      <c r="K17" t="s">
        <v>723</v>
      </c>
      <c r="L17" t="s">
        <v>733</v>
      </c>
      <c r="M17">
        <f t="shared" si="5"/>
        <v>8.4579410858226615E-3</v>
      </c>
      <c r="N17" t="s">
        <v>1194</v>
      </c>
      <c r="O17" s="7">
        <v>40.89</v>
      </c>
      <c r="P17" s="7">
        <v>62.82</v>
      </c>
      <c r="Q17" s="12">
        <v>0.129</v>
      </c>
      <c r="R17">
        <v>17</v>
      </c>
      <c r="S17">
        <f t="shared" si="0"/>
        <v>930.17574000000002</v>
      </c>
      <c r="T17">
        <f t="shared" si="1"/>
        <v>695.13</v>
      </c>
      <c r="U17">
        <f t="shared" si="2"/>
        <v>235.04574000000002</v>
      </c>
      <c r="V17">
        <f t="shared" si="3"/>
        <v>0.25268960465470752</v>
      </c>
    </row>
    <row r="18" spans="1:22" x14ac:dyDescent="0.25">
      <c r="A18" t="s">
        <v>251</v>
      </c>
      <c r="B18" s="14">
        <v>45548</v>
      </c>
      <c r="C18" s="14">
        <v>45567</v>
      </c>
      <c r="D18" s="7">
        <f>C18-B18</f>
        <v>19</v>
      </c>
      <c r="E18" s="5" t="str">
        <f t="shared" si="4"/>
        <v>Q3</v>
      </c>
      <c r="F18" t="s">
        <v>646</v>
      </c>
      <c r="G18" t="s">
        <v>650</v>
      </c>
      <c r="H18" t="s">
        <v>675</v>
      </c>
      <c r="I18" t="s">
        <v>705</v>
      </c>
      <c r="J18" t="s">
        <v>708</v>
      </c>
      <c r="K18" t="s">
        <v>724</v>
      </c>
      <c r="L18" t="s">
        <v>730</v>
      </c>
      <c r="M18">
        <f t="shared" si="5"/>
        <v>0.33678597382953224</v>
      </c>
      <c r="N18" t="s">
        <v>970</v>
      </c>
      <c r="O18" s="7">
        <v>1338.99</v>
      </c>
      <c r="P18" s="7">
        <v>1765.76</v>
      </c>
      <c r="Q18" s="12">
        <v>0.126</v>
      </c>
      <c r="R18">
        <v>24</v>
      </c>
      <c r="S18">
        <f t="shared" si="0"/>
        <v>37038.581760000001</v>
      </c>
      <c r="T18">
        <f t="shared" si="1"/>
        <v>32135.760000000002</v>
      </c>
      <c r="U18">
        <f t="shared" si="2"/>
        <v>4902.8217599999989</v>
      </c>
      <c r="V18">
        <f t="shared" si="3"/>
        <v>0.1323706666677725</v>
      </c>
    </row>
    <row r="19" spans="1:22" x14ac:dyDescent="0.25">
      <c r="A19" t="s">
        <v>42</v>
      </c>
      <c r="B19" s="14">
        <v>45492</v>
      </c>
      <c r="C19" s="14">
        <v>45492</v>
      </c>
      <c r="D19" s="7">
        <f>C19-B19</f>
        <v>0</v>
      </c>
      <c r="E19" s="5" t="str">
        <f t="shared" si="4"/>
        <v>Q3</v>
      </c>
      <c r="F19" t="s">
        <v>646</v>
      </c>
      <c r="G19" t="s">
        <v>650</v>
      </c>
      <c r="H19" t="s">
        <v>662</v>
      </c>
      <c r="I19" t="s">
        <v>705</v>
      </c>
      <c r="J19" t="s">
        <v>711</v>
      </c>
      <c r="K19" t="s">
        <v>720</v>
      </c>
      <c r="L19" t="s">
        <v>730</v>
      </c>
      <c r="M19">
        <f t="shared" si="5"/>
        <v>3.6195944558705014E-2</v>
      </c>
      <c r="N19" t="s">
        <v>761</v>
      </c>
      <c r="O19" s="7">
        <v>857.24</v>
      </c>
      <c r="P19" s="7">
        <v>758.23</v>
      </c>
      <c r="Q19" s="12">
        <v>0.125</v>
      </c>
      <c r="R19">
        <v>6</v>
      </c>
      <c r="S19">
        <f t="shared" si="0"/>
        <v>3980.7075</v>
      </c>
      <c r="T19">
        <f t="shared" si="1"/>
        <v>5143.4400000000005</v>
      </c>
      <c r="U19">
        <f t="shared" si="2"/>
        <v>-1162.7325000000005</v>
      </c>
      <c r="V19">
        <f t="shared" si="3"/>
        <v>-0.29209192084572921</v>
      </c>
    </row>
    <row r="20" spans="1:22" x14ac:dyDescent="0.25">
      <c r="A20" t="s">
        <v>15</v>
      </c>
      <c r="B20" s="14">
        <v>45362</v>
      </c>
      <c r="C20" s="14">
        <v>45388</v>
      </c>
      <c r="D20" s="7">
        <f>C20-B20</f>
        <v>26</v>
      </c>
      <c r="E20" s="5" t="str">
        <f t="shared" si="4"/>
        <v>Q1</v>
      </c>
      <c r="F20" t="s">
        <v>646</v>
      </c>
      <c r="G20" t="s">
        <v>650</v>
      </c>
      <c r="H20" t="s">
        <v>662</v>
      </c>
      <c r="I20" t="s">
        <v>701</v>
      </c>
      <c r="J20" t="s">
        <v>707</v>
      </c>
      <c r="K20" t="s">
        <v>712</v>
      </c>
      <c r="L20" t="s">
        <v>727</v>
      </c>
      <c r="M20">
        <f t="shared" si="5"/>
        <v>4.4248759158825278E-2</v>
      </c>
      <c r="N20" t="s">
        <v>734</v>
      </c>
      <c r="O20" s="7">
        <v>279.24</v>
      </c>
      <c r="P20" s="7">
        <v>608.9</v>
      </c>
      <c r="Q20" s="12">
        <v>0.112</v>
      </c>
      <c r="R20">
        <v>9</v>
      </c>
      <c r="S20">
        <f t="shared" si="0"/>
        <v>4866.3287999999993</v>
      </c>
      <c r="T20">
        <f t="shared" si="1"/>
        <v>2513.16</v>
      </c>
      <c r="U20">
        <f t="shared" si="2"/>
        <v>2353.1687999999995</v>
      </c>
      <c r="V20">
        <f t="shared" si="3"/>
        <v>0.48356140670149533</v>
      </c>
    </row>
    <row r="21" spans="1:22" x14ac:dyDescent="0.25">
      <c r="A21" t="s">
        <v>610</v>
      </c>
      <c r="B21" s="14">
        <v>45473</v>
      </c>
      <c r="C21" s="14">
        <v>45494</v>
      </c>
      <c r="D21" s="7">
        <f>C21-B21</f>
        <v>21</v>
      </c>
      <c r="E21" s="5" t="str">
        <f t="shared" si="4"/>
        <v>Q2</v>
      </c>
      <c r="F21" t="s">
        <v>646</v>
      </c>
      <c r="G21" t="s">
        <v>650</v>
      </c>
      <c r="H21" t="s">
        <v>662</v>
      </c>
      <c r="I21" t="s">
        <v>705</v>
      </c>
      <c r="J21" t="s">
        <v>711</v>
      </c>
      <c r="K21" t="s">
        <v>723</v>
      </c>
      <c r="L21" t="s">
        <v>731</v>
      </c>
      <c r="M21">
        <f t="shared" si="5"/>
        <v>0.13557981801428384</v>
      </c>
      <c r="N21" t="s">
        <v>1327</v>
      </c>
      <c r="O21" s="7">
        <v>753.43</v>
      </c>
      <c r="P21" s="7">
        <v>1787.2</v>
      </c>
      <c r="Q21" s="12">
        <v>7.2999999999999995E-2</v>
      </c>
      <c r="R21">
        <v>9</v>
      </c>
      <c r="S21">
        <f t="shared" si="0"/>
        <v>14910.609600000002</v>
      </c>
      <c r="T21">
        <f t="shared" si="1"/>
        <v>6780.87</v>
      </c>
      <c r="U21">
        <f t="shared" si="2"/>
        <v>8129.7396000000017</v>
      </c>
      <c r="V21">
        <f t="shared" si="3"/>
        <v>0.54523187301476939</v>
      </c>
    </row>
    <row r="22" spans="1:22" x14ac:dyDescent="0.25">
      <c r="A22" t="s">
        <v>548</v>
      </c>
      <c r="B22" s="14">
        <v>45155</v>
      </c>
      <c r="C22" s="14">
        <v>45172</v>
      </c>
      <c r="D22" s="7">
        <f>C22-B22</f>
        <v>17</v>
      </c>
      <c r="E22" s="5" t="str">
        <f t="shared" si="4"/>
        <v>Q3</v>
      </c>
      <c r="F22" t="s">
        <v>646</v>
      </c>
      <c r="G22" t="s">
        <v>661</v>
      </c>
      <c r="H22" t="s">
        <v>687</v>
      </c>
      <c r="I22" t="s">
        <v>706</v>
      </c>
      <c r="J22" t="s">
        <v>707</v>
      </c>
      <c r="K22" t="s">
        <v>720</v>
      </c>
      <c r="L22" t="s">
        <v>730</v>
      </c>
      <c r="M22">
        <f t="shared" si="5"/>
        <v>0.1084239379259532</v>
      </c>
      <c r="N22" t="s">
        <v>1266</v>
      </c>
      <c r="O22" s="7">
        <v>676.37</v>
      </c>
      <c r="P22" s="7">
        <v>1276.67</v>
      </c>
      <c r="Q22" s="12">
        <v>6.6000000000000003E-2</v>
      </c>
      <c r="R22">
        <v>10</v>
      </c>
      <c r="S22">
        <f t="shared" si="0"/>
        <v>11924.0978</v>
      </c>
      <c r="T22">
        <f t="shared" si="1"/>
        <v>6763.7</v>
      </c>
      <c r="U22">
        <f t="shared" si="2"/>
        <v>5160.3977999999997</v>
      </c>
      <c r="V22">
        <f t="shared" si="3"/>
        <v>0.4327705027712872</v>
      </c>
    </row>
    <row r="23" spans="1:22" x14ac:dyDescent="0.25">
      <c r="A23" t="s">
        <v>448</v>
      </c>
      <c r="B23" s="14">
        <v>45636</v>
      </c>
      <c r="C23" s="14">
        <v>45645</v>
      </c>
      <c r="D23" s="7">
        <f>C23-B23</f>
        <v>9</v>
      </c>
      <c r="E23" s="5" t="str">
        <f t="shared" si="4"/>
        <v>Q4</v>
      </c>
      <c r="F23" t="s">
        <v>646</v>
      </c>
      <c r="G23" t="s">
        <v>651</v>
      </c>
      <c r="H23" t="s">
        <v>665</v>
      </c>
      <c r="I23" t="s">
        <v>701</v>
      </c>
      <c r="J23" t="s">
        <v>709</v>
      </c>
      <c r="K23" t="s">
        <v>719</v>
      </c>
      <c r="L23" t="s">
        <v>732</v>
      </c>
      <c r="M23">
        <f t="shared" si="5"/>
        <v>0.11791559966991287</v>
      </c>
      <c r="N23" t="s">
        <v>1166</v>
      </c>
      <c r="O23" s="7">
        <v>488.68</v>
      </c>
      <c r="P23" s="7">
        <v>984.36</v>
      </c>
      <c r="Q23" s="12">
        <v>5.8999999999999997E-2</v>
      </c>
      <c r="R23">
        <v>14</v>
      </c>
      <c r="S23">
        <f t="shared" si="0"/>
        <v>12967.958640000001</v>
      </c>
      <c r="T23">
        <f t="shared" si="1"/>
        <v>6841.52</v>
      </c>
      <c r="U23">
        <f t="shared" si="2"/>
        <v>6126.4386400000003</v>
      </c>
      <c r="V23">
        <f t="shared" si="3"/>
        <v>0.47242891576649876</v>
      </c>
    </row>
    <row r="24" spans="1:22" x14ac:dyDescent="0.25">
      <c r="A24" t="s">
        <v>367</v>
      </c>
      <c r="B24" s="14">
        <v>45121</v>
      </c>
      <c r="C24" s="14">
        <v>45121</v>
      </c>
      <c r="D24" s="7">
        <f>C24-B24</f>
        <v>0</v>
      </c>
      <c r="E24" s="5" t="str">
        <f t="shared" si="4"/>
        <v>Q3</v>
      </c>
      <c r="F24" t="s">
        <v>646</v>
      </c>
      <c r="G24" t="s">
        <v>651</v>
      </c>
      <c r="H24" t="s">
        <v>665</v>
      </c>
      <c r="I24" t="s">
        <v>702</v>
      </c>
      <c r="J24" t="s">
        <v>711</v>
      </c>
      <c r="K24" t="s">
        <v>714</v>
      </c>
      <c r="L24" t="s">
        <v>733</v>
      </c>
      <c r="M24">
        <f t="shared" si="5"/>
        <v>0.24143862500658123</v>
      </c>
      <c r="N24" t="s">
        <v>1086</v>
      </c>
      <c r="O24" s="7">
        <v>956.38</v>
      </c>
      <c r="P24" s="7">
        <v>1454.22</v>
      </c>
      <c r="Q24" s="12">
        <v>3.9E-2</v>
      </c>
      <c r="R24">
        <v>19</v>
      </c>
      <c r="S24">
        <f t="shared" si="0"/>
        <v>26552.60298</v>
      </c>
      <c r="T24">
        <f t="shared" si="1"/>
        <v>18171.22</v>
      </c>
      <c r="U24">
        <f t="shared" si="2"/>
        <v>8381.3829799999985</v>
      </c>
      <c r="V24">
        <f t="shared" si="3"/>
        <v>0.31565202802576603</v>
      </c>
    </row>
    <row r="25" spans="1:22" x14ac:dyDescent="0.25">
      <c r="A25" t="s">
        <v>377</v>
      </c>
      <c r="B25" s="14">
        <v>45108</v>
      </c>
      <c r="C25" s="14">
        <v>45115</v>
      </c>
      <c r="D25" s="7">
        <f>C25-B25</f>
        <v>7</v>
      </c>
      <c r="E25" s="5" t="str">
        <f t="shared" si="4"/>
        <v>Q3</v>
      </c>
      <c r="F25" t="s">
        <v>646</v>
      </c>
      <c r="G25" t="s">
        <v>651</v>
      </c>
      <c r="H25" t="s">
        <v>663</v>
      </c>
      <c r="I25" t="s">
        <v>701</v>
      </c>
      <c r="J25" t="s">
        <v>711</v>
      </c>
      <c r="K25" t="s">
        <v>720</v>
      </c>
      <c r="L25" t="s">
        <v>731</v>
      </c>
      <c r="M25">
        <f t="shared" si="5"/>
        <v>0.75029323894193622</v>
      </c>
      <c r="N25" t="s">
        <v>1096</v>
      </c>
      <c r="O25" s="7">
        <v>834.26</v>
      </c>
      <c r="P25" s="7">
        <v>1780.56</v>
      </c>
      <c r="Q25" s="12">
        <v>1.4E-2</v>
      </c>
      <c r="R25">
        <v>47</v>
      </c>
      <c r="S25">
        <f t="shared" si="0"/>
        <v>82514.711519999997</v>
      </c>
      <c r="T25">
        <f t="shared" si="1"/>
        <v>39210.22</v>
      </c>
      <c r="U25">
        <f t="shared" si="2"/>
        <v>43304.491519999996</v>
      </c>
      <c r="V25">
        <f t="shared" si="3"/>
        <v>0.5248093427497933</v>
      </c>
    </row>
    <row r="26" spans="1:22" x14ac:dyDescent="0.25">
      <c r="A26" t="s">
        <v>228</v>
      </c>
      <c r="B26" s="14">
        <v>45686</v>
      </c>
      <c r="C26" s="14">
        <v>45694</v>
      </c>
      <c r="D26" s="7">
        <f>C26-B26</f>
        <v>8</v>
      </c>
      <c r="E26" s="5" t="str">
        <f t="shared" si="4"/>
        <v>Q1</v>
      </c>
      <c r="F26" t="s">
        <v>646</v>
      </c>
      <c r="G26" t="s">
        <v>650</v>
      </c>
      <c r="H26" t="s">
        <v>662</v>
      </c>
      <c r="I26" t="s">
        <v>702</v>
      </c>
      <c r="J26" t="s">
        <v>708</v>
      </c>
      <c r="K26" t="s">
        <v>717</v>
      </c>
      <c r="L26" t="s">
        <v>730</v>
      </c>
      <c r="M26">
        <f t="shared" si="5"/>
        <v>0.22025636770416804</v>
      </c>
      <c r="N26" t="s">
        <v>947</v>
      </c>
      <c r="O26" s="7">
        <v>1445.27</v>
      </c>
      <c r="P26" s="7">
        <v>2691.45</v>
      </c>
      <c r="Q26" s="12">
        <v>0</v>
      </c>
      <c r="R26">
        <v>9</v>
      </c>
      <c r="S26">
        <f t="shared" si="0"/>
        <v>24223.05</v>
      </c>
      <c r="T26">
        <f t="shared" si="1"/>
        <v>13007.43</v>
      </c>
      <c r="U26">
        <f t="shared" si="2"/>
        <v>11215.619999999999</v>
      </c>
      <c r="V26">
        <f t="shared" si="3"/>
        <v>0.46301436028906351</v>
      </c>
    </row>
    <row r="27" spans="1:22" x14ac:dyDescent="0.25">
      <c r="A27" t="s">
        <v>49</v>
      </c>
      <c r="B27" s="14">
        <v>45527</v>
      </c>
      <c r="C27" s="15">
        <v>45525</v>
      </c>
      <c r="D27" s="7">
        <f>C27-B27</f>
        <v>-2</v>
      </c>
      <c r="E27" s="5" t="str">
        <f t="shared" si="4"/>
        <v>Q3</v>
      </c>
      <c r="F27" t="s">
        <v>646</v>
      </c>
      <c r="G27" t="s">
        <v>661</v>
      </c>
      <c r="H27" t="s">
        <v>682</v>
      </c>
      <c r="I27" t="s">
        <v>702</v>
      </c>
      <c r="J27" t="s">
        <v>708</v>
      </c>
      <c r="K27" t="s">
        <v>718</v>
      </c>
      <c r="L27" t="s">
        <v>727</v>
      </c>
      <c r="M27">
        <f t="shared" si="5"/>
        <v>0.24852401322326503</v>
      </c>
      <c r="N27" t="s">
        <v>768</v>
      </c>
      <c r="O27" s="7">
        <v>1432.52</v>
      </c>
      <c r="P27" s="7">
        <v>3036.87</v>
      </c>
      <c r="Q27" s="12">
        <v>0</v>
      </c>
      <c r="R27">
        <v>9</v>
      </c>
      <c r="S27">
        <f t="shared" si="0"/>
        <v>27331.829999999998</v>
      </c>
      <c r="T27">
        <f t="shared" si="1"/>
        <v>12892.68</v>
      </c>
      <c r="U27">
        <f t="shared" si="2"/>
        <v>14439.149999999998</v>
      </c>
      <c r="V27">
        <f t="shared" si="3"/>
        <v>0.52829064135112791</v>
      </c>
    </row>
    <row r="28" spans="1:22" x14ac:dyDescent="0.25">
      <c r="A28" t="s">
        <v>450</v>
      </c>
      <c r="B28" s="14">
        <v>45217</v>
      </c>
      <c r="C28" s="14">
        <v>45219</v>
      </c>
      <c r="D28" s="7">
        <f>C28-B28</f>
        <v>2</v>
      </c>
      <c r="E28" s="5" t="str">
        <f t="shared" si="4"/>
        <v>Q4</v>
      </c>
      <c r="F28" t="s">
        <v>646</v>
      </c>
      <c r="G28" t="s">
        <v>650</v>
      </c>
      <c r="H28" t="s">
        <v>662</v>
      </c>
      <c r="I28" t="s">
        <v>704</v>
      </c>
      <c r="J28" t="s">
        <v>711</v>
      </c>
      <c r="K28" t="s">
        <v>713</v>
      </c>
      <c r="L28" t="s">
        <v>730</v>
      </c>
      <c r="M28">
        <f t="shared" si="5"/>
        <v>0.24777085311597319</v>
      </c>
      <c r="N28" t="s">
        <v>1168</v>
      </c>
      <c r="O28" s="7">
        <v>774.12</v>
      </c>
      <c r="P28" s="7">
        <v>908.3</v>
      </c>
      <c r="Q28" s="12">
        <v>0</v>
      </c>
      <c r="R28">
        <v>30</v>
      </c>
      <c r="S28">
        <f t="shared" si="0"/>
        <v>27249</v>
      </c>
      <c r="T28">
        <f t="shared" si="1"/>
        <v>23223.599999999999</v>
      </c>
      <c r="U28">
        <f t="shared" si="2"/>
        <v>4025.4000000000015</v>
      </c>
      <c r="V28">
        <f t="shared" si="3"/>
        <v>0.14772652207420461</v>
      </c>
    </row>
    <row r="29" spans="1:22" x14ac:dyDescent="0.25">
      <c r="A29" t="s">
        <v>297</v>
      </c>
      <c r="B29" s="14">
        <v>45153</v>
      </c>
      <c r="C29" s="14">
        <v>45163</v>
      </c>
      <c r="D29" s="7">
        <f>C29-B29</f>
        <v>10</v>
      </c>
      <c r="E29" s="5" t="str">
        <f t="shared" si="4"/>
        <v>Q3</v>
      </c>
      <c r="F29" t="s">
        <v>646</v>
      </c>
      <c r="G29" t="s">
        <v>650</v>
      </c>
      <c r="H29" t="s">
        <v>664</v>
      </c>
      <c r="I29" t="s">
        <v>705</v>
      </c>
      <c r="J29" t="s">
        <v>710</v>
      </c>
      <c r="K29" t="s">
        <v>725</v>
      </c>
      <c r="L29" t="s">
        <v>730</v>
      </c>
      <c r="M29">
        <f t="shared" si="5"/>
        <v>6.0716543528078074E-3</v>
      </c>
      <c r="N29" t="s">
        <v>1016</v>
      </c>
      <c r="O29" s="7">
        <v>91.85</v>
      </c>
      <c r="P29" s="7">
        <v>111.29</v>
      </c>
      <c r="Q29" s="12">
        <v>0</v>
      </c>
      <c r="R29">
        <v>6</v>
      </c>
      <c r="S29">
        <f t="shared" si="0"/>
        <v>667.74</v>
      </c>
      <c r="T29">
        <f t="shared" si="1"/>
        <v>551.09999999999991</v>
      </c>
      <c r="U29">
        <f t="shared" si="2"/>
        <v>116.6400000000001</v>
      </c>
      <c r="V29">
        <f t="shared" si="3"/>
        <v>0.17467876718483258</v>
      </c>
    </row>
    <row r="30" spans="1:22" x14ac:dyDescent="0.25">
      <c r="A30" t="s">
        <v>120</v>
      </c>
      <c r="B30" s="14">
        <v>45433</v>
      </c>
      <c r="C30" s="14">
        <v>45439</v>
      </c>
      <c r="D30" s="7">
        <f>C30-B30</f>
        <v>6</v>
      </c>
      <c r="E30" s="5" t="str">
        <f t="shared" si="4"/>
        <v>Q2</v>
      </c>
      <c r="F30" t="s">
        <v>646</v>
      </c>
      <c r="G30" t="s">
        <v>661</v>
      </c>
      <c r="H30" t="s">
        <v>682</v>
      </c>
      <c r="I30" t="s">
        <v>703</v>
      </c>
      <c r="J30" t="s">
        <v>711</v>
      </c>
      <c r="K30" t="s">
        <v>724</v>
      </c>
      <c r="L30" t="s">
        <v>727</v>
      </c>
      <c r="M30">
        <f t="shared" si="5"/>
        <v>0.10984348878595716</v>
      </c>
      <c r="N30" t="s">
        <v>839</v>
      </c>
      <c r="O30" s="7">
        <v>1157.51</v>
      </c>
      <c r="P30" s="7">
        <v>1394.3</v>
      </c>
      <c r="Q30" s="12">
        <v>0.27800000000000002</v>
      </c>
      <c r="R30">
        <v>12</v>
      </c>
      <c r="S30">
        <f t="shared" si="0"/>
        <v>12080.215199999999</v>
      </c>
      <c r="T30">
        <f t="shared" si="1"/>
        <v>13890.119999999999</v>
      </c>
      <c r="U30">
        <f t="shared" si="2"/>
        <v>-1809.9048000000003</v>
      </c>
      <c r="V30">
        <f t="shared" si="3"/>
        <v>-0.14982388724333326</v>
      </c>
    </row>
    <row r="31" spans="1:22" x14ac:dyDescent="0.25">
      <c r="A31" t="s">
        <v>152</v>
      </c>
      <c r="B31" s="14">
        <v>45016</v>
      </c>
      <c r="C31" s="14">
        <v>45028</v>
      </c>
      <c r="D31" s="7">
        <f>C31-B31</f>
        <v>12</v>
      </c>
      <c r="E31" s="5" t="str">
        <f t="shared" si="4"/>
        <v>Q1</v>
      </c>
      <c r="F31" t="s">
        <v>646</v>
      </c>
      <c r="G31" t="s">
        <v>650</v>
      </c>
      <c r="H31" t="s">
        <v>675</v>
      </c>
      <c r="I31" t="s">
        <v>705</v>
      </c>
      <c r="J31" t="s">
        <v>711</v>
      </c>
      <c r="K31" t="s">
        <v>712</v>
      </c>
      <c r="L31" t="s">
        <v>730</v>
      </c>
      <c r="M31">
        <f t="shared" si="5"/>
        <v>3.9428770431408619E-2</v>
      </c>
      <c r="N31" t="s">
        <v>871</v>
      </c>
      <c r="O31" s="7">
        <v>304.22000000000003</v>
      </c>
      <c r="P31" s="7">
        <v>393.31</v>
      </c>
      <c r="Q31" s="12">
        <v>0.26500000000000001</v>
      </c>
      <c r="R31">
        <v>15</v>
      </c>
      <c r="S31">
        <f t="shared" si="0"/>
        <v>4336.2427499999994</v>
      </c>
      <c r="T31">
        <f t="shared" si="1"/>
        <v>4563.3</v>
      </c>
      <c r="U31">
        <f t="shared" si="2"/>
        <v>-227.05725000000075</v>
      </c>
      <c r="V31">
        <f t="shared" si="3"/>
        <v>-5.2362670424759034E-2</v>
      </c>
    </row>
    <row r="32" spans="1:22" x14ac:dyDescent="0.25">
      <c r="A32" t="s">
        <v>16</v>
      </c>
      <c r="B32" s="14">
        <v>45588</v>
      </c>
      <c r="C32" s="15">
        <v>45587</v>
      </c>
      <c r="D32" s="7">
        <f>C32-B32</f>
        <v>-1</v>
      </c>
      <c r="E32" s="5" t="str">
        <f t="shared" si="4"/>
        <v>Q4</v>
      </c>
      <c r="F32" t="s">
        <v>646</v>
      </c>
      <c r="G32" t="s">
        <v>651</v>
      </c>
      <c r="H32" t="s">
        <v>663</v>
      </c>
      <c r="I32" t="s">
        <v>702</v>
      </c>
      <c r="J32" t="s">
        <v>711</v>
      </c>
      <c r="K32" t="s">
        <v>713</v>
      </c>
      <c r="L32" t="s">
        <v>728</v>
      </c>
      <c r="M32">
        <f t="shared" si="5"/>
        <v>0.1633113758442197</v>
      </c>
      <c r="N32" t="s">
        <v>735</v>
      </c>
      <c r="O32" s="7">
        <v>1084.3900000000001</v>
      </c>
      <c r="P32" s="7">
        <v>759.33</v>
      </c>
      <c r="Q32" s="12">
        <v>0.23699999999999999</v>
      </c>
      <c r="R32">
        <v>31</v>
      </c>
      <c r="S32">
        <f t="shared" si="0"/>
        <v>17960.432489999999</v>
      </c>
      <c r="T32">
        <f t="shared" si="1"/>
        <v>33616.090000000004</v>
      </c>
      <c r="U32">
        <f t="shared" si="2"/>
        <v>-15655.657510000005</v>
      </c>
      <c r="V32">
        <f t="shared" si="3"/>
        <v>-0.87167486187856302</v>
      </c>
    </row>
    <row r="33" spans="1:22" x14ac:dyDescent="0.25">
      <c r="A33" t="s">
        <v>540</v>
      </c>
      <c r="B33" s="14">
        <v>45398</v>
      </c>
      <c r="C33" s="14">
        <v>45409</v>
      </c>
      <c r="D33" s="7">
        <f>C33-B33</f>
        <v>11</v>
      </c>
      <c r="E33" s="5" t="str">
        <f t="shared" si="4"/>
        <v>Q2</v>
      </c>
      <c r="F33" t="s">
        <v>646</v>
      </c>
      <c r="G33" t="s">
        <v>650</v>
      </c>
      <c r="H33" t="s">
        <v>678</v>
      </c>
      <c r="I33" t="s">
        <v>706</v>
      </c>
      <c r="J33" t="s">
        <v>708</v>
      </c>
      <c r="K33" t="s">
        <v>726</v>
      </c>
      <c r="L33" t="s">
        <v>728</v>
      </c>
      <c r="M33">
        <f t="shared" si="5"/>
        <v>7.5713233807504512E-2</v>
      </c>
      <c r="N33" t="s">
        <v>1258</v>
      </c>
      <c r="O33" s="7">
        <v>401.3</v>
      </c>
      <c r="P33" s="7">
        <v>826.47</v>
      </c>
      <c r="Q33" s="12">
        <v>0.22500000000000001</v>
      </c>
      <c r="R33">
        <v>13</v>
      </c>
      <c r="S33">
        <f t="shared" si="0"/>
        <v>8326.6852500000005</v>
      </c>
      <c r="T33">
        <f t="shared" si="1"/>
        <v>5216.9000000000005</v>
      </c>
      <c r="U33">
        <f t="shared" si="2"/>
        <v>3109.7852499999999</v>
      </c>
      <c r="V33">
        <f t="shared" si="3"/>
        <v>0.37347217489696755</v>
      </c>
    </row>
    <row r="34" spans="1:22" x14ac:dyDescent="0.25">
      <c r="A34" t="s">
        <v>74</v>
      </c>
      <c r="B34" s="14">
        <v>45779</v>
      </c>
      <c r="C34" s="14">
        <v>45790</v>
      </c>
      <c r="D34" s="7">
        <f>C34-B34</f>
        <v>11</v>
      </c>
      <c r="E34" s="5" t="str">
        <f t="shared" si="4"/>
        <v>Q2</v>
      </c>
      <c r="F34" t="s">
        <v>646</v>
      </c>
      <c r="G34" t="s">
        <v>650</v>
      </c>
      <c r="H34" t="s">
        <v>678</v>
      </c>
      <c r="I34" t="s">
        <v>705</v>
      </c>
      <c r="J34" t="s">
        <v>709</v>
      </c>
      <c r="K34" t="s">
        <v>720</v>
      </c>
      <c r="L34" t="s">
        <v>733</v>
      </c>
      <c r="M34">
        <f t="shared" si="5"/>
        <v>4.1552931532486063E-2</v>
      </c>
      <c r="N34" t="s">
        <v>793</v>
      </c>
      <c r="O34" s="7">
        <v>1057.5999999999999</v>
      </c>
      <c r="P34" s="7">
        <v>1437.06</v>
      </c>
      <c r="Q34" s="12">
        <v>0.20499999999999999</v>
      </c>
      <c r="R34">
        <v>4</v>
      </c>
      <c r="S34">
        <f t="shared" si="0"/>
        <v>4569.8508000000002</v>
      </c>
      <c r="T34">
        <f t="shared" si="1"/>
        <v>4230.3999999999996</v>
      </c>
      <c r="U34">
        <f t="shared" si="2"/>
        <v>339.45080000000053</v>
      </c>
      <c r="V34">
        <f t="shared" si="3"/>
        <v>7.4280499485891424E-2</v>
      </c>
    </row>
    <row r="35" spans="1:22" x14ac:dyDescent="0.25">
      <c r="A35" t="s">
        <v>22</v>
      </c>
      <c r="B35" s="14">
        <v>44941</v>
      </c>
      <c r="C35" s="15">
        <v>44939</v>
      </c>
      <c r="D35" s="7">
        <f>C35-B35</f>
        <v>-2</v>
      </c>
      <c r="E35" s="5" t="str">
        <f t="shared" si="4"/>
        <v>Q1</v>
      </c>
      <c r="F35" t="s">
        <v>646</v>
      </c>
      <c r="G35" t="s">
        <v>651</v>
      </c>
      <c r="H35" t="s">
        <v>669</v>
      </c>
      <c r="I35" t="s">
        <v>702</v>
      </c>
      <c r="J35" t="s">
        <v>708</v>
      </c>
      <c r="K35" t="s">
        <v>719</v>
      </c>
      <c r="L35" t="s">
        <v>728</v>
      </c>
      <c r="M35">
        <f t="shared" si="5"/>
        <v>6.2292129376288596E-3</v>
      </c>
      <c r="N35" t="s">
        <v>741</v>
      </c>
      <c r="O35" s="7">
        <v>28.38</v>
      </c>
      <c r="P35" s="7">
        <v>47.22</v>
      </c>
      <c r="Q35" s="12">
        <v>0.19400000000000001</v>
      </c>
      <c r="R35">
        <v>18</v>
      </c>
      <c r="S35">
        <f t="shared" si="0"/>
        <v>685.06776000000002</v>
      </c>
      <c r="T35">
        <f t="shared" si="1"/>
        <v>510.84</v>
      </c>
      <c r="U35">
        <f t="shared" si="2"/>
        <v>174.22776000000005</v>
      </c>
      <c r="V35">
        <f t="shared" si="3"/>
        <v>0.25432193743871417</v>
      </c>
    </row>
    <row r="36" spans="1:22" x14ac:dyDescent="0.25">
      <c r="A36" t="s">
        <v>381</v>
      </c>
      <c r="B36" s="14">
        <v>45445</v>
      </c>
      <c r="C36" s="14">
        <v>45458</v>
      </c>
      <c r="D36" s="7">
        <f>C36-B36</f>
        <v>13</v>
      </c>
      <c r="E36" s="5" t="str">
        <f t="shared" si="4"/>
        <v>Q2</v>
      </c>
      <c r="F36" t="s">
        <v>646</v>
      </c>
      <c r="G36" t="s">
        <v>650</v>
      </c>
      <c r="H36" t="s">
        <v>675</v>
      </c>
      <c r="I36" t="s">
        <v>702</v>
      </c>
      <c r="J36" t="s">
        <v>708</v>
      </c>
      <c r="K36" t="s">
        <v>719</v>
      </c>
      <c r="L36" t="s">
        <v>730</v>
      </c>
      <c r="M36">
        <f t="shared" si="5"/>
        <v>0.17774078353032366</v>
      </c>
      <c r="N36" t="s">
        <v>1100</v>
      </c>
      <c r="O36" s="7">
        <v>1295.18</v>
      </c>
      <c r="P36" s="7">
        <v>3024.03</v>
      </c>
      <c r="Q36" s="12">
        <v>0.192</v>
      </c>
      <c r="R36">
        <v>8</v>
      </c>
      <c r="S36">
        <f t="shared" si="0"/>
        <v>19547.329920000004</v>
      </c>
      <c r="T36">
        <f t="shared" si="1"/>
        <v>10361.44</v>
      </c>
      <c r="U36">
        <f t="shared" si="2"/>
        <v>9185.8899200000033</v>
      </c>
      <c r="V36">
        <f t="shared" si="3"/>
        <v>0.46993067378483178</v>
      </c>
    </row>
    <row r="37" spans="1:22" x14ac:dyDescent="0.25">
      <c r="A37" t="s">
        <v>63</v>
      </c>
      <c r="B37" s="14">
        <v>45579</v>
      </c>
      <c r="C37" s="14">
        <v>45604</v>
      </c>
      <c r="D37" s="7">
        <f>C37-B37</f>
        <v>25</v>
      </c>
      <c r="E37" s="5" t="str">
        <f t="shared" si="4"/>
        <v>Q4</v>
      </c>
      <c r="F37" t="s">
        <v>646</v>
      </c>
      <c r="G37" t="s">
        <v>651</v>
      </c>
      <c r="H37" t="s">
        <v>665</v>
      </c>
      <c r="I37" t="s">
        <v>706</v>
      </c>
      <c r="J37" t="s">
        <v>708</v>
      </c>
      <c r="K37" t="s">
        <v>719</v>
      </c>
      <c r="L37" t="s">
        <v>729</v>
      </c>
      <c r="M37">
        <f t="shared" si="5"/>
        <v>0.32389887573593135</v>
      </c>
      <c r="N37" t="s">
        <v>782</v>
      </c>
      <c r="O37" s="7">
        <v>859.35</v>
      </c>
      <c r="P37" s="7">
        <v>1825.61</v>
      </c>
      <c r="Q37" s="12">
        <v>0.187</v>
      </c>
      <c r="R37">
        <v>24</v>
      </c>
      <c r="S37">
        <f t="shared" si="0"/>
        <v>35621.302319999995</v>
      </c>
      <c r="T37">
        <f t="shared" si="1"/>
        <v>20624.400000000001</v>
      </c>
      <c r="U37">
        <f t="shared" si="2"/>
        <v>14996.902319999994</v>
      </c>
      <c r="V37">
        <f t="shared" si="3"/>
        <v>0.42100937762681989</v>
      </c>
    </row>
    <row r="38" spans="1:22" x14ac:dyDescent="0.25">
      <c r="A38" t="s">
        <v>53</v>
      </c>
      <c r="B38" s="14">
        <v>45401</v>
      </c>
      <c r="C38" s="14">
        <v>45418</v>
      </c>
      <c r="D38" s="7">
        <f>C38-B38</f>
        <v>17</v>
      </c>
      <c r="E38" s="5" t="str">
        <f t="shared" si="4"/>
        <v>Q2</v>
      </c>
      <c r="F38" t="s">
        <v>646</v>
      </c>
      <c r="G38" t="s">
        <v>651</v>
      </c>
      <c r="H38" t="s">
        <v>663</v>
      </c>
      <c r="I38" t="s">
        <v>703</v>
      </c>
      <c r="J38" t="s">
        <v>707</v>
      </c>
      <c r="K38" t="s">
        <v>720</v>
      </c>
      <c r="L38" t="s">
        <v>728</v>
      </c>
      <c r="M38">
        <f t="shared" si="5"/>
        <v>0.13610383304612211</v>
      </c>
      <c r="N38" t="s">
        <v>772</v>
      </c>
      <c r="O38" s="7">
        <v>865.33</v>
      </c>
      <c r="P38" s="7">
        <v>1395.64</v>
      </c>
      <c r="Q38" s="12">
        <v>0.17499999999999999</v>
      </c>
      <c r="R38">
        <v>13</v>
      </c>
      <c r="S38">
        <f t="shared" si="0"/>
        <v>14968.239</v>
      </c>
      <c r="T38">
        <f t="shared" si="1"/>
        <v>11249.29</v>
      </c>
      <c r="U38">
        <f t="shared" si="2"/>
        <v>3718.9489999999987</v>
      </c>
      <c r="V38">
        <f t="shared" si="3"/>
        <v>0.24845601409758347</v>
      </c>
    </row>
    <row r="39" spans="1:22" x14ac:dyDescent="0.25">
      <c r="A39" t="s">
        <v>437</v>
      </c>
      <c r="B39" s="14">
        <v>45841</v>
      </c>
      <c r="C39" s="14">
        <v>45844</v>
      </c>
      <c r="D39" s="7">
        <f>C39-B39</f>
        <v>3</v>
      </c>
      <c r="E39" s="5" t="str">
        <f t="shared" si="4"/>
        <v>Q3</v>
      </c>
      <c r="F39" t="s">
        <v>646</v>
      </c>
      <c r="G39" t="s">
        <v>651</v>
      </c>
      <c r="H39" t="s">
        <v>665</v>
      </c>
      <c r="I39" t="s">
        <v>704</v>
      </c>
      <c r="J39" t="s">
        <v>710</v>
      </c>
      <c r="K39" t="s">
        <v>1430</v>
      </c>
      <c r="L39" t="s">
        <v>731</v>
      </c>
      <c r="M39">
        <f t="shared" si="5"/>
        <v>0.92858778200902348</v>
      </c>
      <c r="N39" t="s">
        <v>1155</v>
      </c>
      <c r="O39" s="7">
        <v>1313.3</v>
      </c>
      <c r="P39" s="7">
        <v>2884.34</v>
      </c>
      <c r="Q39" s="12">
        <v>0.157</v>
      </c>
      <c r="R39">
        <v>42</v>
      </c>
      <c r="S39">
        <f t="shared" si="0"/>
        <v>102122.94203999999</v>
      </c>
      <c r="T39">
        <f t="shared" si="1"/>
        <v>55158.6</v>
      </c>
      <c r="U39">
        <f t="shared" si="2"/>
        <v>46964.342039999996</v>
      </c>
      <c r="V39">
        <f t="shared" si="3"/>
        <v>0.45988042551305253</v>
      </c>
    </row>
    <row r="40" spans="1:22" x14ac:dyDescent="0.25">
      <c r="A40" t="s">
        <v>612</v>
      </c>
      <c r="B40" s="14">
        <v>44933</v>
      </c>
      <c r="C40" s="14">
        <v>44956</v>
      </c>
      <c r="D40" s="7">
        <f>C40-B40</f>
        <v>23</v>
      </c>
      <c r="E40" s="5" t="str">
        <f t="shared" si="4"/>
        <v>Q1</v>
      </c>
      <c r="F40" t="s">
        <v>646</v>
      </c>
      <c r="G40" t="s">
        <v>661</v>
      </c>
      <c r="H40" t="s">
        <v>695</v>
      </c>
      <c r="I40" t="s">
        <v>704</v>
      </c>
      <c r="J40" t="s">
        <v>708</v>
      </c>
      <c r="K40" t="s">
        <v>720</v>
      </c>
      <c r="L40" t="s">
        <v>728</v>
      </c>
      <c r="M40">
        <f t="shared" si="5"/>
        <v>2.8335205335554586E-2</v>
      </c>
      <c r="N40" t="s">
        <v>1329</v>
      </c>
      <c r="O40" s="7">
        <v>299.02</v>
      </c>
      <c r="P40" s="7">
        <v>724.7</v>
      </c>
      <c r="Q40" s="12">
        <v>0.14000000000000001</v>
      </c>
      <c r="R40">
        <v>5</v>
      </c>
      <c r="S40">
        <f t="shared" si="0"/>
        <v>3116.21</v>
      </c>
      <c r="T40">
        <f t="shared" si="1"/>
        <v>1495.1</v>
      </c>
      <c r="U40">
        <f t="shared" si="2"/>
        <v>1621.1100000000001</v>
      </c>
      <c r="V40">
        <f t="shared" si="3"/>
        <v>0.52021847051386139</v>
      </c>
    </row>
    <row r="41" spans="1:22" x14ac:dyDescent="0.25">
      <c r="A41" t="s">
        <v>121</v>
      </c>
      <c r="B41" s="14">
        <v>45057</v>
      </c>
      <c r="C41" s="14">
        <v>45084</v>
      </c>
      <c r="D41" s="7">
        <f>C41-B41</f>
        <v>27</v>
      </c>
      <c r="E41" s="5" t="str">
        <f t="shared" si="4"/>
        <v>Q2</v>
      </c>
      <c r="F41" t="s">
        <v>646</v>
      </c>
      <c r="G41" t="s">
        <v>650</v>
      </c>
      <c r="H41" t="s">
        <v>675</v>
      </c>
      <c r="I41" t="s">
        <v>701</v>
      </c>
      <c r="J41" t="s">
        <v>711</v>
      </c>
      <c r="K41" t="s">
        <v>713</v>
      </c>
      <c r="L41" t="s">
        <v>730</v>
      </c>
      <c r="M41">
        <f t="shared" si="5"/>
        <v>4.7160422667704358E-3</v>
      </c>
      <c r="N41" t="s">
        <v>840</v>
      </c>
      <c r="O41" s="7">
        <v>12.85</v>
      </c>
      <c r="P41" s="7">
        <v>15.41</v>
      </c>
      <c r="Q41" s="12">
        <v>0.13700000000000001</v>
      </c>
      <c r="R41">
        <v>39</v>
      </c>
      <c r="S41">
        <f t="shared" si="0"/>
        <v>518.65436999999997</v>
      </c>
      <c r="T41">
        <f t="shared" si="1"/>
        <v>501.15</v>
      </c>
      <c r="U41">
        <f t="shared" si="2"/>
        <v>17.504369999999994</v>
      </c>
      <c r="V41">
        <f t="shared" si="3"/>
        <v>3.3749585489851353E-2</v>
      </c>
    </row>
    <row r="42" spans="1:22" x14ac:dyDescent="0.25">
      <c r="A42" t="s">
        <v>488</v>
      </c>
      <c r="B42" s="14">
        <v>45328</v>
      </c>
      <c r="C42" s="14">
        <v>45350</v>
      </c>
      <c r="D42" s="7">
        <f>C42-B42</f>
        <v>22</v>
      </c>
      <c r="E42" s="5" t="str">
        <f t="shared" si="4"/>
        <v>Q1</v>
      </c>
      <c r="F42" t="s">
        <v>646</v>
      </c>
      <c r="G42" t="s">
        <v>650</v>
      </c>
      <c r="H42" t="s">
        <v>662</v>
      </c>
      <c r="I42" t="s">
        <v>703</v>
      </c>
      <c r="J42" t="s">
        <v>710</v>
      </c>
      <c r="K42" t="s">
        <v>723</v>
      </c>
      <c r="L42" t="s">
        <v>732</v>
      </c>
      <c r="M42">
        <f t="shared" si="5"/>
        <v>7.5745659518766245E-2</v>
      </c>
      <c r="N42" t="s">
        <v>1206</v>
      </c>
      <c r="O42" s="7">
        <v>834.93</v>
      </c>
      <c r="P42" s="7">
        <v>1588.53</v>
      </c>
      <c r="Q42" s="12">
        <v>0.126</v>
      </c>
      <c r="R42">
        <v>6</v>
      </c>
      <c r="S42">
        <f t="shared" si="0"/>
        <v>8330.2513199999994</v>
      </c>
      <c r="T42">
        <f t="shared" si="1"/>
        <v>5009.58</v>
      </c>
      <c r="U42">
        <f t="shared" si="2"/>
        <v>3320.6713199999995</v>
      </c>
      <c r="V42">
        <f t="shared" si="3"/>
        <v>0.39862798761274343</v>
      </c>
    </row>
    <row r="43" spans="1:22" x14ac:dyDescent="0.25">
      <c r="A43" t="s">
        <v>198</v>
      </c>
      <c r="B43" s="14">
        <v>45157</v>
      </c>
      <c r="C43" s="14">
        <v>45161</v>
      </c>
      <c r="D43" s="7">
        <f>C43-B43</f>
        <v>4</v>
      </c>
      <c r="E43" s="5" t="str">
        <f t="shared" si="4"/>
        <v>Q3</v>
      </c>
      <c r="F43" t="s">
        <v>646</v>
      </c>
      <c r="G43" t="s">
        <v>651</v>
      </c>
      <c r="H43" t="s">
        <v>669</v>
      </c>
      <c r="I43" t="s">
        <v>705</v>
      </c>
      <c r="J43" t="s">
        <v>707</v>
      </c>
      <c r="K43" t="s">
        <v>713</v>
      </c>
      <c r="L43" t="s">
        <v>732</v>
      </c>
      <c r="M43">
        <f t="shared" si="5"/>
        <v>7.9097513058089208E-2</v>
      </c>
      <c r="N43" t="s">
        <v>917</v>
      </c>
      <c r="O43" s="7">
        <v>790.63</v>
      </c>
      <c r="P43" s="7">
        <v>1382.31</v>
      </c>
      <c r="Q43" s="12">
        <v>0.10100000000000001</v>
      </c>
      <c r="R43">
        <v>7</v>
      </c>
      <c r="S43">
        <f t="shared" si="0"/>
        <v>8698.8768300000011</v>
      </c>
      <c r="T43">
        <f t="shared" si="1"/>
        <v>5534.41</v>
      </c>
      <c r="U43">
        <f t="shared" si="2"/>
        <v>3164.4668300000012</v>
      </c>
      <c r="V43">
        <f t="shared" si="3"/>
        <v>0.36377878338116448</v>
      </c>
    </row>
    <row r="44" spans="1:22" x14ac:dyDescent="0.25">
      <c r="A44" t="s">
        <v>538</v>
      </c>
      <c r="B44" s="14">
        <v>45406</v>
      </c>
      <c r="C44" s="14">
        <v>45422</v>
      </c>
      <c r="D44" s="7">
        <f>C44-B44</f>
        <v>16</v>
      </c>
      <c r="E44" s="5" t="str">
        <f t="shared" si="4"/>
        <v>Q2</v>
      </c>
      <c r="F44" t="s">
        <v>646</v>
      </c>
      <c r="G44" t="s">
        <v>650</v>
      </c>
      <c r="H44" t="s">
        <v>662</v>
      </c>
      <c r="I44" t="s">
        <v>703</v>
      </c>
      <c r="J44" t="s">
        <v>711</v>
      </c>
      <c r="K44" t="s">
        <v>725</v>
      </c>
      <c r="L44" t="s">
        <v>732</v>
      </c>
      <c r="M44">
        <f t="shared" si="5"/>
        <v>0.1465881927275807</v>
      </c>
      <c r="N44" t="s">
        <v>1256</v>
      </c>
      <c r="O44" s="7">
        <v>513.30999999999995</v>
      </c>
      <c r="P44" s="7">
        <v>1186.26</v>
      </c>
      <c r="Q44" s="12">
        <v>9.4E-2</v>
      </c>
      <c r="R44">
        <v>15</v>
      </c>
      <c r="S44">
        <f t="shared" si="0"/>
        <v>16121.273400000002</v>
      </c>
      <c r="T44">
        <f t="shared" si="1"/>
        <v>7699.65</v>
      </c>
      <c r="U44">
        <f t="shared" si="2"/>
        <v>8421.6234000000022</v>
      </c>
      <c r="V44">
        <f t="shared" si="3"/>
        <v>0.52239194702820446</v>
      </c>
    </row>
    <row r="45" spans="1:22" x14ac:dyDescent="0.25">
      <c r="A45" t="s">
        <v>582</v>
      </c>
      <c r="B45" s="14">
        <v>45834</v>
      </c>
      <c r="C45" s="14">
        <v>45849</v>
      </c>
      <c r="D45" s="7">
        <f>C45-B45</f>
        <v>15</v>
      </c>
      <c r="E45" s="5" t="str">
        <f t="shared" si="4"/>
        <v>Q2</v>
      </c>
      <c r="F45" t="s">
        <v>646</v>
      </c>
      <c r="G45" t="s">
        <v>651</v>
      </c>
      <c r="H45" t="s">
        <v>663</v>
      </c>
      <c r="I45" t="s">
        <v>705</v>
      </c>
      <c r="J45" t="s">
        <v>710</v>
      </c>
      <c r="K45" t="s">
        <v>720</v>
      </c>
      <c r="L45" t="s">
        <v>731</v>
      </c>
      <c r="M45">
        <f t="shared" si="5"/>
        <v>0.40166382197059736</v>
      </c>
      <c r="N45" t="s">
        <v>1299</v>
      </c>
      <c r="O45" s="7">
        <v>1170.1500000000001</v>
      </c>
      <c r="P45" s="7">
        <v>2115.19</v>
      </c>
      <c r="Q45" s="12">
        <v>9.1999999999999998E-2</v>
      </c>
      <c r="R45">
        <v>23</v>
      </c>
      <c r="S45">
        <f t="shared" si="0"/>
        <v>44173.627960000005</v>
      </c>
      <c r="T45">
        <f t="shared" si="1"/>
        <v>26913.45</v>
      </c>
      <c r="U45">
        <f t="shared" si="2"/>
        <v>17260.177960000005</v>
      </c>
      <c r="V45">
        <f t="shared" si="3"/>
        <v>0.39073489674946776</v>
      </c>
    </row>
    <row r="46" spans="1:22" x14ac:dyDescent="0.25">
      <c r="A46" t="s">
        <v>413</v>
      </c>
      <c r="B46" s="14">
        <v>45914</v>
      </c>
      <c r="C46" s="14">
        <v>45923</v>
      </c>
      <c r="D46" s="7">
        <f>C46-B46</f>
        <v>9</v>
      </c>
      <c r="E46" s="5" t="str">
        <f t="shared" si="4"/>
        <v>Q3</v>
      </c>
      <c r="F46" t="s">
        <v>646</v>
      </c>
      <c r="G46" t="s">
        <v>661</v>
      </c>
      <c r="H46" t="s">
        <v>687</v>
      </c>
      <c r="I46" t="s">
        <v>703</v>
      </c>
      <c r="J46" t="s">
        <v>707</v>
      </c>
      <c r="K46" t="s">
        <v>726</v>
      </c>
      <c r="L46" t="s">
        <v>727</v>
      </c>
      <c r="M46">
        <f t="shared" si="5"/>
        <v>0.11989405988870594</v>
      </c>
      <c r="N46" t="s">
        <v>1131</v>
      </c>
      <c r="O46" s="7">
        <v>1310.3</v>
      </c>
      <c r="P46" s="7">
        <v>2875.8</v>
      </c>
      <c r="Q46" s="12">
        <v>8.3000000000000004E-2</v>
      </c>
      <c r="R46">
        <v>5</v>
      </c>
      <c r="S46">
        <f t="shared" si="0"/>
        <v>13185.543</v>
      </c>
      <c r="T46">
        <f t="shared" si="1"/>
        <v>6551.5</v>
      </c>
      <c r="U46">
        <f t="shared" si="2"/>
        <v>6634.0429999999997</v>
      </c>
      <c r="V46">
        <f t="shared" si="3"/>
        <v>0.50313005691157353</v>
      </c>
    </row>
    <row r="47" spans="1:22" x14ac:dyDescent="0.25">
      <c r="A47" t="s">
        <v>404</v>
      </c>
      <c r="B47" s="14">
        <v>45225</v>
      </c>
      <c r="C47" s="14">
        <v>45235</v>
      </c>
      <c r="D47" s="7">
        <f>C47-B47</f>
        <v>10</v>
      </c>
      <c r="E47" s="5" t="str">
        <f t="shared" si="4"/>
        <v>Q4</v>
      </c>
      <c r="F47" t="s">
        <v>646</v>
      </c>
      <c r="G47" t="s">
        <v>661</v>
      </c>
      <c r="H47" t="s">
        <v>695</v>
      </c>
      <c r="I47" t="s">
        <v>703</v>
      </c>
      <c r="J47" t="s">
        <v>708</v>
      </c>
      <c r="K47" t="s">
        <v>714</v>
      </c>
      <c r="L47" t="s">
        <v>731</v>
      </c>
      <c r="M47">
        <f t="shared" si="5"/>
        <v>3.9504077803937864E-3</v>
      </c>
      <c r="N47" t="s">
        <v>1122</v>
      </c>
      <c r="O47" s="7">
        <v>20.38</v>
      </c>
      <c r="P47" s="7">
        <v>42.56</v>
      </c>
      <c r="Q47" s="12">
        <v>7.1999999999999995E-2</v>
      </c>
      <c r="R47">
        <v>11</v>
      </c>
      <c r="S47">
        <f t="shared" si="0"/>
        <v>434.45248000000004</v>
      </c>
      <c r="T47">
        <f t="shared" si="1"/>
        <v>224.17999999999998</v>
      </c>
      <c r="U47">
        <f t="shared" si="2"/>
        <v>210.27248000000006</v>
      </c>
      <c r="V47">
        <f t="shared" si="3"/>
        <v>0.48399419885921713</v>
      </c>
    </row>
    <row r="48" spans="1:22" x14ac:dyDescent="0.25">
      <c r="A48" t="s">
        <v>577</v>
      </c>
      <c r="B48" s="14">
        <v>45626</v>
      </c>
      <c r="C48" s="14">
        <v>45645</v>
      </c>
      <c r="D48" s="7">
        <f>C48-B48</f>
        <v>19</v>
      </c>
      <c r="E48" s="5" t="str">
        <f t="shared" si="4"/>
        <v>Q4</v>
      </c>
      <c r="F48" t="s">
        <v>646</v>
      </c>
      <c r="G48" t="s">
        <v>650</v>
      </c>
      <c r="H48" t="s">
        <v>662</v>
      </c>
      <c r="I48" t="s">
        <v>701</v>
      </c>
      <c r="J48" t="s">
        <v>711</v>
      </c>
      <c r="K48" t="s">
        <v>716</v>
      </c>
      <c r="L48" t="s">
        <v>730</v>
      </c>
      <c r="M48">
        <f t="shared" si="5"/>
        <v>0.30071223925030843</v>
      </c>
      <c r="N48" t="s">
        <v>1294</v>
      </c>
      <c r="O48" s="7">
        <v>1195.98</v>
      </c>
      <c r="P48" s="7">
        <v>1841.9</v>
      </c>
      <c r="Q48" s="12">
        <v>5.5E-2</v>
      </c>
      <c r="R48">
        <v>19</v>
      </c>
      <c r="S48">
        <f t="shared" si="0"/>
        <v>33071.3145</v>
      </c>
      <c r="T48">
        <f t="shared" si="1"/>
        <v>22723.62</v>
      </c>
      <c r="U48">
        <f t="shared" si="2"/>
        <v>10347.694500000001</v>
      </c>
      <c r="V48">
        <f t="shared" si="3"/>
        <v>0.31289032977506842</v>
      </c>
    </row>
    <row r="49" spans="1:22" x14ac:dyDescent="0.25">
      <c r="A49" t="s">
        <v>212</v>
      </c>
      <c r="B49" s="14">
        <v>45333</v>
      </c>
      <c r="C49" s="14">
        <v>45354</v>
      </c>
      <c r="D49" s="7">
        <f>C49-B49</f>
        <v>21</v>
      </c>
      <c r="E49" s="5" t="str">
        <f t="shared" si="4"/>
        <v>Q1</v>
      </c>
      <c r="F49" t="s">
        <v>646</v>
      </c>
      <c r="G49" t="s">
        <v>650</v>
      </c>
      <c r="H49" t="s">
        <v>662</v>
      </c>
      <c r="I49" t="s">
        <v>706</v>
      </c>
      <c r="J49" t="s">
        <v>708</v>
      </c>
      <c r="K49" t="s">
        <v>717</v>
      </c>
      <c r="L49" t="s">
        <v>730</v>
      </c>
      <c r="M49">
        <f t="shared" si="5"/>
        <v>0.10299322564323182</v>
      </c>
      <c r="N49" t="s">
        <v>931</v>
      </c>
      <c r="O49" s="7">
        <v>516.86</v>
      </c>
      <c r="P49" s="7">
        <v>852.54</v>
      </c>
      <c r="Q49" s="12">
        <v>5.0999999999999997E-2</v>
      </c>
      <c r="R49">
        <v>14</v>
      </c>
      <c r="S49">
        <f t="shared" si="0"/>
        <v>11326.846439999999</v>
      </c>
      <c r="T49">
        <f t="shared" si="1"/>
        <v>7236.04</v>
      </c>
      <c r="U49">
        <f t="shared" si="2"/>
        <v>4090.8064399999994</v>
      </c>
      <c r="V49">
        <f t="shared" si="3"/>
        <v>0.36116022775355994</v>
      </c>
    </row>
    <row r="50" spans="1:22" x14ac:dyDescent="0.25">
      <c r="A50" t="s">
        <v>454</v>
      </c>
      <c r="B50" s="14">
        <v>44978</v>
      </c>
      <c r="C50" s="14">
        <v>44997</v>
      </c>
      <c r="D50" s="7">
        <f>C50-B50</f>
        <v>19</v>
      </c>
      <c r="E50" s="5" t="str">
        <f t="shared" si="4"/>
        <v>Q1</v>
      </c>
      <c r="F50" t="s">
        <v>646</v>
      </c>
      <c r="G50" t="s">
        <v>650</v>
      </c>
      <c r="H50" t="s">
        <v>678</v>
      </c>
      <c r="I50" t="s">
        <v>701</v>
      </c>
      <c r="J50" t="s">
        <v>707</v>
      </c>
      <c r="K50" t="s">
        <v>721</v>
      </c>
      <c r="L50" t="s">
        <v>729</v>
      </c>
      <c r="M50">
        <f t="shared" si="5"/>
        <v>2.54202987736287E-2</v>
      </c>
      <c r="N50" t="s">
        <v>1172</v>
      </c>
      <c r="O50" s="7">
        <v>352.65</v>
      </c>
      <c r="P50" s="7">
        <v>485.86</v>
      </c>
      <c r="Q50" s="12">
        <v>4.1000000000000002E-2</v>
      </c>
      <c r="R50">
        <v>6</v>
      </c>
      <c r="S50">
        <f t="shared" si="0"/>
        <v>2795.6384399999997</v>
      </c>
      <c r="T50">
        <f t="shared" si="1"/>
        <v>2115.8999999999996</v>
      </c>
      <c r="U50">
        <f t="shared" si="2"/>
        <v>679.73844000000008</v>
      </c>
      <c r="V50">
        <f t="shared" si="3"/>
        <v>0.24314247159943908</v>
      </c>
    </row>
    <row r="51" spans="1:22" x14ac:dyDescent="0.25">
      <c r="A51" t="s">
        <v>61</v>
      </c>
      <c r="B51" s="14">
        <v>45100</v>
      </c>
      <c r="C51" s="14">
        <v>45110</v>
      </c>
      <c r="D51" s="7">
        <f>C51-B51</f>
        <v>10</v>
      </c>
      <c r="E51" s="5" t="str">
        <f t="shared" si="4"/>
        <v>Q2</v>
      </c>
      <c r="F51" t="s">
        <v>646</v>
      </c>
      <c r="G51" t="s">
        <v>651</v>
      </c>
      <c r="H51" t="s">
        <v>669</v>
      </c>
      <c r="I51" t="s">
        <v>704</v>
      </c>
      <c r="J51" t="s">
        <v>707</v>
      </c>
      <c r="K51" t="s">
        <v>713</v>
      </c>
      <c r="L51" t="s">
        <v>728</v>
      </c>
      <c r="M51">
        <f t="shared" si="5"/>
        <v>6.4882610971732715E-2</v>
      </c>
      <c r="N51" t="s">
        <v>780</v>
      </c>
      <c r="O51" s="7">
        <v>337.75</v>
      </c>
      <c r="P51" s="7">
        <v>548.89</v>
      </c>
      <c r="Q51" s="12">
        <v>0</v>
      </c>
      <c r="R51">
        <v>13</v>
      </c>
      <c r="S51">
        <f t="shared" si="0"/>
        <v>7135.57</v>
      </c>
      <c r="T51">
        <f t="shared" si="1"/>
        <v>4390.75</v>
      </c>
      <c r="U51">
        <f t="shared" si="2"/>
        <v>2744.8199999999997</v>
      </c>
      <c r="V51">
        <f t="shared" si="3"/>
        <v>0.38466723751571352</v>
      </c>
    </row>
    <row r="52" spans="1:22" x14ac:dyDescent="0.25">
      <c r="A52" t="s">
        <v>56</v>
      </c>
      <c r="B52" s="14">
        <v>45302</v>
      </c>
      <c r="C52" s="14">
        <v>45324</v>
      </c>
      <c r="D52" s="7">
        <f>C52-B52</f>
        <v>22</v>
      </c>
      <c r="E52" s="5" t="str">
        <f t="shared" si="4"/>
        <v>Q1</v>
      </c>
      <c r="F52" t="s">
        <v>646</v>
      </c>
      <c r="G52" t="s">
        <v>661</v>
      </c>
      <c r="H52" t="s">
        <v>687</v>
      </c>
      <c r="I52" t="s">
        <v>704</v>
      </c>
      <c r="J52" t="s">
        <v>707</v>
      </c>
      <c r="K52" t="s">
        <v>723</v>
      </c>
      <c r="L52" t="s">
        <v>729</v>
      </c>
      <c r="M52">
        <f t="shared" si="5"/>
        <v>9.600895510403136E-2</v>
      </c>
      <c r="N52" t="s">
        <v>775</v>
      </c>
      <c r="O52" s="7">
        <v>1206.2</v>
      </c>
      <c r="P52" s="7">
        <v>1759.79</v>
      </c>
      <c r="Q52" s="12">
        <v>0</v>
      </c>
      <c r="R52">
        <v>6</v>
      </c>
      <c r="S52">
        <f t="shared" si="0"/>
        <v>10558.74</v>
      </c>
      <c r="T52">
        <f t="shared" si="1"/>
        <v>7237.2000000000007</v>
      </c>
      <c r="U52">
        <f t="shared" si="2"/>
        <v>3321.5399999999991</v>
      </c>
      <c r="V52">
        <f t="shared" si="3"/>
        <v>0.31457730751964713</v>
      </c>
    </row>
    <row r="53" spans="1:22" x14ac:dyDescent="0.25">
      <c r="A53" t="s">
        <v>556</v>
      </c>
      <c r="B53" s="14">
        <v>45115</v>
      </c>
      <c r="C53" s="14">
        <v>45116</v>
      </c>
      <c r="D53" s="7">
        <f>C53-B53</f>
        <v>1</v>
      </c>
      <c r="E53" s="5" t="str">
        <f t="shared" si="4"/>
        <v>Q3</v>
      </c>
      <c r="F53" t="s">
        <v>646</v>
      </c>
      <c r="G53" t="s">
        <v>650</v>
      </c>
      <c r="H53" t="s">
        <v>664</v>
      </c>
      <c r="I53" t="s">
        <v>704</v>
      </c>
      <c r="J53" t="s">
        <v>710</v>
      </c>
      <c r="K53" t="s">
        <v>726</v>
      </c>
      <c r="L53" t="s">
        <v>731</v>
      </c>
      <c r="M53">
        <f t="shared" si="5"/>
        <v>0.17805485102227905</v>
      </c>
      <c r="N53" t="s">
        <v>1273</v>
      </c>
      <c r="O53" s="7">
        <v>1258.72</v>
      </c>
      <c r="P53" s="7">
        <v>2797.41</v>
      </c>
      <c r="Q53" s="12">
        <v>0</v>
      </c>
      <c r="R53">
        <v>7</v>
      </c>
      <c r="S53">
        <f t="shared" si="0"/>
        <v>19581.87</v>
      </c>
      <c r="T53">
        <f t="shared" si="1"/>
        <v>8811.0400000000009</v>
      </c>
      <c r="U53">
        <f t="shared" si="2"/>
        <v>10770.829999999998</v>
      </c>
      <c r="V53">
        <f t="shared" si="3"/>
        <v>0.55004093071805704</v>
      </c>
    </row>
    <row r="54" spans="1:22" x14ac:dyDescent="0.25">
      <c r="A54" t="s">
        <v>112</v>
      </c>
      <c r="B54" s="14">
        <v>45440</v>
      </c>
      <c r="C54" s="15">
        <v>45438</v>
      </c>
      <c r="D54" s="7">
        <f>C54-B54</f>
        <v>-2</v>
      </c>
      <c r="E54" s="5" t="str">
        <f t="shared" si="4"/>
        <v>Q2</v>
      </c>
      <c r="F54" t="s">
        <v>646</v>
      </c>
      <c r="G54" t="s">
        <v>651</v>
      </c>
      <c r="H54" t="s">
        <v>669</v>
      </c>
      <c r="I54" t="s">
        <v>706</v>
      </c>
      <c r="J54" t="s">
        <v>709</v>
      </c>
      <c r="K54" t="s">
        <v>721</v>
      </c>
      <c r="L54" t="s">
        <v>733</v>
      </c>
      <c r="M54">
        <f t="shared" si="5"/>
        <v>0.31042198971935508</v>
      </c>
      <c r="N54" t="s">
        <v>831</v>
      </c>
      <c r="O54" s="7">
        <v>1227.08</v>
      </c>
      <c r="P54" s="7">
        <v>1896.62</v>
      </c>
      <c r="Q54" s="12">
        <v>0</v>
      </c>
      <c r="R54">
        <v>18</v>
      </c>
      <c r="S54">
        <f t="shared" si="0"/>
        <v>34139.159999999996</v>
      </c>
      <c r="T54">
        <f t="shared" si="1"/>
        <v>22087.439999999999</v>
      </c>
      <c r="U54">
        <f t="shared" si="2"/>
        <v>12051.719999999998</v>
      </c>
      <c r="V54">
        <f t="shared" si="3"/>
        <v>0.353017473189147</v>
      </c>
    </row>
    <row r="55" spans="1:22" x14ac:dyDescent="0.25">
      <c r="A55" t="s">
        <v>354</v>
      </c>
      <c r="B55" s="14">
        <v>45121</v>
      </c>
      <c r="C55" s="14">
        <v>45128</v>
      </c>
      <c r="D55" s="7">
        <f>C55-B55</f>
        <v>7</v>
      </c>
      <c r="E55" s="5" t="str">
        <f t="shared" si="4"/>
        <v>Q3</v>
      </c>
      <c r="F55" t="s">
        <v>646</v>
      </c>
      <c r="G55" t="s">
        <v>661</v>
      </c>
      <c r="H55" t="s">
        <v>687</v>
      </c>
      <c r="I55" t="s">
        <v>706</v>
      </c>
      <c r="J55" t="s">
        <v>711</v>
      </c>
      <c r="K55" t="s">
        <v>1430</v>
      </c>
      <c r="L55" t="s">
        <v>732</v>
      </c>
      <c r="M55">
        <f t="shared" si="5"/>
        <v>0.23738331729012352</v>
      </c>
      <c r="N55" t="s">
        <v>1073</v>
      </c>
      <c r="O55" s="7">
        <v>620.74</v>
      </c>
      <c r="P55" s="7">
        <v>1330.07</v>
      </c>
      <c r="Q55" s="12">
        <v>0.29899999999999999</v>
      </c>
      <c r="R55">
        <v>28</v>
      </c>
      <c r="S55">
        <f t="shared" si="0"/>
        <v>26106.613960000002</v>
      </c>
      <c r="T55">
        <f t="shared" si="1"/>
        <v>17380.72</v>
      </c>
      <c r="U55">
        <f t="shared" si="2"/>
        <v>8725.8939600000012</v>
      </c>
      <c r="V55">
        <f t="shared" si="3"/>
        <v>0.33424073965967516</v>
      </c>
    </row>
    <row r="56" spans="1:22" x14ac:dyDescent="0.25">
      <c r="A56" t="s">
        <v>462</v>
      </c>
      <c r="B56" s="14">
        <v>45746</v>
      </c>
      <c r="C56" s="14">
        <v>45776</v>
      </c>
      <c r="D56" s="7">
        <f>C56-B56</f>
        <v>30</v>
      </c>
      <c r="E56" s="5" t="str">
        <f t="shared" si="4"/>
        <v>Q1</v>
      </c>
      <c r="F56" t="s">
        <v>646</v>
      </c>
      <c r="G56" t="s">
        <v>661</v>
      </c>
      <c r="H56" t="s">
        <v>687</v>
      </c>
      <c r="I56" t="s">
        <v>704</v>
      </c>
      <c r="J56" t="s">
        <v>710</v>
      </c>
      <c r="K56" t="s">
        <v>713</v>
      </c>
      <c r="L56" t="s">
        <v>732</v>
      </c>
      <c r="M56">
        <f t="shared" si="5"/>
        <v>5.0604641660320498E-2</v>
      </c>
      <c r="N56" t="s">
        <v>1180</v>
      </c>
      <c r="O56" s="7">
        <v>194.6</v>
      </c>
      <c r="P56" s="7">
        <v>314.87</v>
      </c>
      <c r="Q56" s="12">
        <v>0.29299999999999998</v>
      </c>
      <c r="R56">
        <v>25</v>
      </c>
      <c r="S56">
        <f t="shared" si="0"/>
        <v>5565.3272500000003</v>
      </c>
      <c r="T56">
        <f t="shared" si="1"/>
        <v>4865</v>
      </c>
      <c r="U56">
        <f t="shared" si="2"/>
        <v>700.32725000000028</v>
      </c>
      <c r="V56">
        <f t="shared" si="3"/>
        <v>0.1258375686712763</v>
      </c>
    </row>
    <row r="57" spans="1:22" x14ac:dyDescent="0.25">
      <c r="A57" t="s">
        <v>441</v>
      </c>
      <c r="B57" s="14">
        <v>45897</v>
      </c>
      <c r="C57" s="14">
        <v>45905</v>
      </c>
      <c r="D57" s="7">
        <f>C57-B57</f>
        <v>8</v>
      </c>
      <c r="E57" s="5" t="str">
        <f t="shared" si="4"/>
        <v>Q3</v>
      </c>
      <c r="F57" t="s">
        <v>646</v>
      </c>
      <c r="G57" t="s">
        <v>651</v>
      </c>
      <c r="H57" t="s">
        <v>663</v>
      </c>
      <c r="I57" t="s">
        <v>705</v>
      </c>
      <c r="J57" t="s">
        <v>711</v>
      </c>
      <c r="K57" t="s">
        <v>718</v>
      </c>
      <c r="L57" t="s">
        <v>731</v>
      </c>
      <c r="M57">
        <f t="shared" si="5"/>
        <v>0.27674623999630482</v>
      </c>
      <c r="N57" t="s">
        <v>1159</v>
      </c>
      <c r="O57" s="7">
        <v>1271.0999999999999</v>
      </c>
      <c r="P57" s="7">
        <v>1932.42</v>
      </c>
      <c r="Q57" s="12">
        <v>0.25</v>
      </c>
      <c r="R57">
        <v>21</v>
      </c>
      <c r="S57">
        <f t="shared" si="0"/>
        <v>30435.614999999998</v>
      </c>
      <c r="T57">
        <f t="shared" si="1"/>
        <v>26693.1</v>
      </c>
      <c r="U57">
        <f t="shared" si="2"/>
        <v>3742.5149999999994</v>
      </c>
      <c r="V57">
        <f t="shared" si="3"/>
        <v>0.12296498690760807</v>
      </c>
    </row>
    <row r="58" spans="1:22" x14ac:dyDescent="0.25">
      <c r="A58" t="s">
        <v>549</v>
      </c>
      <c r="B58" s="14">
        <v>45832</v>
      </c>
      <c r="C58" s="14">
        <v>45852</v>
      </c>
      <c r="D58" s="7">
        <f>C58-B58</f>
        <v>20</v>
      </c>
      <c r="E58" s="5" t="str">
        <f t="shared" si="4"/>
        <v>Q2</v>
      </c>
      <c r="F58" t="s">
        <v>646</v>
      </c>
      <c r="G58" t="s">
        <v>661</v>
      </c>
      <c r="H58" t="s">
        <v>682</v>
      </c>
      <c r="I58" t="s">
        <v>706</v>
      </c>
      <c r="J58" t="s">
        <v>708</v>
      </c>
      <c r="K58" t="s">
        <v>713</v>
      </c>
      <c r="L58" t="s">
        <v>731</v>
      </c>
      <c r="M58">
        <f t="shared" si="5"/>
        <v>0.38583888007542022</v>
      </c>
      <c r="N58" t="s">
        <v>1267</v>
      </c>
      <c r="O58" s="7">
        <v>1151.06</v>
      </c>
      <c r="P58" s="7">
        <v>2821.36</v>
      </c>
      <c r="Q58" s="12">
        <v>0.248</v>
      </c>
      <c r="R58">
        <v>20</v>
      </c>
      <c r="S58">
        <f t="shared" si="0"/>
        <v>42433.254400000005</v>
      </c>
      <c r="T58">
        <f t="shared" si="1"/>
        <v>23021.199999999997</v>
      </c>
      <c r="U58">
        <f t="shared" si="2"/>
        <v>19412.054400000008</v>
      </c>
      <c r="V58">
        <f t="shared" si="3"/>
        <v>0.45747267501594235</v>
      </c>
    </row>
    <row r="59" spans="1:22" x14ac:dyDescent="0.25">
      <c r="A59" t="s">
        <v>124</v>
      </c>
      <c r="B59" s="14">
        <v>45445</v>
      </c>
      <c r="C59" s="14">
        <v>45451</v>
      </c>
      <c r="D59" s="7">
        <f>C59-B59</f>
        <v>6</v>
      </c>
      <c r="E59" s="5" t="str">
        <f t="shared" si="4"/>
        <v>Q2</v>
      </c>
      <c r="F59" t="s">
        <v>646</v>
      </c>
      <c r="G59" t="s">
        <v>650</v>
      </c>
      <c r="H59" t="s">
        <v>662</v>
      </c>
      <c r="I59" t="s">
        <v>704</v>
      </c>
      <c r="J59" t="s">
        <v>707</v>
      </c>
      <c r="K59" t="s">
        <v>720</v>
      </c>
      <c r="L59" t="s">
        <v>733</v>
      </c>
      <c r="M59">
        <f t="shared" si="5"/>
        <v>4.9992454703015662E-3</v>
      </c>
      <c r="N59" t="s">
        <v>843</v>
      </c>
      <c r="O59" s="7">
        <v>292.94</v>
      </c>
      <c r="P59" s="7">
        <v>356.55</v>
      </c>
      <c r="Q59" s="12">
        <v>0.22900000000000001</v>
      </c>
      <c r="R59">
        <v>2</v>
      </c>
      <c r="S59">
        <f t="shared" si="0"/>
        <v>549.80010000000004</v>
      </c>
      <c r="T59">
        <f t="shared" si="1"/>
        <v>585.88</v>
      </c>
      <c r="U59">
        <f t="shared" si="2"/>
        <v>-36.079899999999952</v>
      </c>
      <c r="V59">
        <f t="shared" si="3"/>
        <v>-6.5623669402751925E-2</v>
      </c>
    </row>
    <row r="60" spans="1:22" x14ac:dyDescent="0.25">
      <c r="A60" t="s">
        <v>464</v>
      </c>
      <c r="B60" s="14">
        <v>45454</v>
      </c>
      <c r="C60" s="14">
        <v>45482</v>
      </c>
      <c r="D60" s="7">
        <f>C60-B60</f>
        <v>28</v>
      </c>
      <c r="E60" s="5" t="str">
        <f t="shared" si="4"/>
        <v>Q2</v>
      </c>
      <c r="F60" t="s">
        <v>646</v>
      </c>
      <c r="G60" t="s">
        <v>651</v>
      </c>
      <c r="H60" t="s">
        <v>663</v>
      </c>
      <c r="I60" t="s">
        <v>701</v>
      </c>
      <c r="J60" t="s">
        <v>709</v>
      </c>
      <c r="K60" t="s">
        <v>714</v>
      </c>
      <c r="L60" t="s">
        <v>730</v>
      </c>
      <c r="M60">
        <f t="shared" si="5"/>
        <v>0.11174375456394063</v>
      </c>
      <c r="N60" t="s">
        <v>1182</v>
      </c>
      <c r="O60" s="7">
        <v>895.54</v>
      </c>
      <c r="P60" s="7">
        <v>1045</v>
      </c>
      <c r="Q60" s="12">
        <v>0.216</v>
      </c>
      <c r="R60">
        <v>15</v>
      </c>
      <c r="S60">
        <f t="shared" si="0"/>
        <v>12289.2</v>
      </c>
      <c r="T60">
        <f t="shared" si="1"/>
        <v>13433.099999999999</v>
      </c>
      <c r="U60">
        <f t="shared" si="2"/>
        <v>-1143.8999999999978</v>
      </c>
      <c r="V60">
        <f t="shared" si="3"/>
        <v>-9.3081730299775234E-2</v>
      </c>
    </row>
    <row r="61" spans="1:22" x14ac:dyDescent="0.25">
      <c r="A61" t="s">
        <v>244</v>
      </c>
      <c r="B61" s="14">
        <v>44992</v>
      </c>
      <c r="C61" s="14">
        <v>45017</v>
      </c>
      <c r="D61" s="7">
        <f>C61-B61</f>
        <v>25</v>
      </c>
      <c r="E61" s="5" t="str">
        <f t="shared" si="4"/>
        <v>Q1</v>
      </c>
      <c r="F61" t="s">
        <v>646</v>
      </c>
      <c r="G61" t="s">
        <v>650</v>
      </c>
      <c r="H61" t="s">
        <v>664</v>
      </c>
      <c r="I61" t="s">
        <v>704</v>
      </c>
      <c r="J61" t="s">
        <v>711</v>
      </c>
      <c r="K61" t="s">
        <v>726</v>
      </c>
      <c r="L61" t="s">
        <v>728</v>
      </c>
      <c r="M61">
        <f t="shared" si="5"/>
        <v>6.7710038391828126E-2</v>
      </c>
      <c r="N61" t="s">
        <v>963</v>
      </c>
      <c r="O61" s="7">
        <v>1024.0999999999999</v>
      </c>
      <c r="P61" s="7">
        <v>918.19</v>
      </c>
      <c r="Q61" s="12">
        <v>0.189</v>
      </c>
      <c r="R61">
        <v>10</v>
      </c>
      <c r="S61">
        <f t="shared" si="0"/>
        <v>7446.5209000000004</v>
      </c>
      <c r="T61">
        <f t="shared" si="1"/>
        <v>10241</v>
      </c>
      <c r="U61">
        <f t="shared" si="2"/>
        <v>-2794.4790999999996</v>
      </c>
      <c r="V61">
        <f t="shared" si="3"/>
        <v>-0.37527311579827827</v>
      </c>
    </row>
    <row r="62" spans="1:22" x14ac:dyDescent="0.25">
      <c r="A62" t="s">
        <v>260</v>
      </c>
      <c r="B62" s="14">
        <v>45357</v>
      </c>
      <c r="C62" s="14">
        <v>45377</v>
      </c>
      <c r="D62" s="7">
        <f>C62-B62</f>
        <v>20</v>
      </c>
      <c r="E62" s="5" t="str">
        <f t="shared" si="4"/>
        <v>Q1</v>
      </c>
      <c r="F62" t="s">
        <v>646</v>
      </c>
      <c r="G62" t="s">
        <v>651</v>
      </c>
      <c r="H62" t="s">
        <v>663</v>
      </c>
      <c r="I62" t="s">
        <v>704</v>
      </c>
      <c r="J62" t="s">
        <v>711</v>
      </c>
      <c r="K62" t="s">
        <v>714</v>
      </c>
      <c r="L62" t="s">
        <v>730</v>
      </c>
      <c r="M62">
        <f t="shared" si="5"/>
        <v>2.6458978485964828E-2</v>
      </c>
      <c r="N62" t="s">
        <v>979</v>
      </c>
      <c r="O62" s="7">
        <v>65.64</v>
      </c>
      <c r="P62" s="7">
        <v>151.88</v>
      </c>
      <c r="Q62" s="12">
        <v>0.16700000000000001</v>
      </c>
      <c r="R62">
        <v>23</v>
      </c>
      <c r="S62">
        <f t="shared" si="0"/>
        <v>2909.8689199999999</v>
      </c>
      <c r="T62">
        <f t="shared" si="1"/>
        <v>1509.72</v>
      </c>
      <c r="U62">
        <f t="shared" si="2"/>
        <v>1400.1489199999999</v>
      </c>
      <c r="V62">
        <f t="shared" si="3"/>
        <v>0.48117250587356353</v>
      </c>
    </row>
    <row r="63" spans="1:22" x14ac:dyDescent="0.25">
      <c r="A63" t="s">
        <v>225</v>
      </c>
      <c r="B63" s="14">
        <v>45567</v>
      </c>
      <c r="C63" s="14">
        <v>45588</v>
      </c>
      <c r="D63" s="7">
        <f>C63-B63</f>
        <v>21</v>
      </c>
      <c r="E63" s="5" t="str">
        <f t="shared" si="4"/>
        <v>Q4</v>
      </c>
      <c r="F63" t="s">
        <v>646</v>
      </c>
      <c r="G63" t="s">
        <v>661</v>
      </c>
      <c r="H63" t="s">
        <v>687</v>
      </c>
      <c r="I63" t="s">
        <v>701</v>
      </c>
      <c r="J63" t="s">
        <v>711</v>
      </c>
      <c r="K63" t="s">
        <v>720</v>
      </c>
      <c r="L63" t="s">
        <v>727</v>
      </c>
      <c r="M63">
        <f t="shared" si="5"/>
        <v>0.16422767817785244</v>
      </c>
      <c r="N63" t="s">
        <v>944</v>
      </c>
      <c r="O63" s="7">
        <v>1095.6099999999999</v>
      </c>
      <c r="P63" s="7">
        <v>2366.5100000000002</v>
      </c>
      <c r="Q63" s="12">
        <v>0.152</v>
      </c>
      <c r="R63">
        <v>9</v>
      </c>
      <c r="S63">
        <f t="shared" si="0"/>
        <v>18061.204320000004</v>
      </c>
      <c r="T63">
        <f t="shared" si="1"/>
        <v>9860.49</v>
      </c>
      <c r="U63">
        <f t="shared" si="2"/>
        <v>8200.7143200000046</v>
      </c>
      <c r="V63">
        <f t="shared" si="3"/>
        <v>0.4540513564158607</v>
      </c>
    </row>
    <row r="64" spans="1:22" x14ac:dyDescent="0.25">
      <c r="A64" t="s">
        <v>363</v>
      </c>
      <c r="B64" s="14">
        <v>45281</v>
      </c>
      <c r="C64" s="14">
        <v>45297</v>
      </c>
      <c r="D64" s="7">
        <f>C64-B64</f>
        <v>16</v>
      </c>
      <c r="E64" s="5" t="str">
        <f t="shared" si="4"/>
        <v>Q4</v>
      </c>
      <c r="F64" t="s">
        <v>646</v>
      </c>
      <c r="G64" t="s">
        <v>651</v>
      </c>
      <c r="H64" t="s">
        <v>1430</v>
      </c>
      <c r="I64" t="s">
        <v>701</v>
      </c>
      <c r="J64" t="s">
        <v>708</v>
      </c>
      <c r="K64" t="s">
        <v>723</v>
      </c>
      <c r="L64" t="s">
        <v>727</v>
      </c>
      <c r="M64">
        <f t="shared" si="5"/>
        <v>0.24695153421732738</v>
      </c>
      <c r="N64" t="s">
        <v>1082</v>
      </c>
      <c r="O64" s="7">
        <v>932.61</v>
      </c>
      <c r="P64" s="7">
        <v>1982.98</v>
      </c>
      <c r="Q64" s="12">
        <v>0.14399999999999999</v>
      </c>
      <c r="R64">
        <v>16</v>
      </c>
      <c r="S64">
        <f t="shared" si="0"/>
        <v>27158.894079999998</v>
      </c>
      <c r="T64">
        <f t="shared" si="1"/>
        <v>14921.76</v>
      </c>
      <c r="U64">
        <f t="shared" si="2"/>
        <v>12237.134079999998</v>
      </c>
      <c r="V64">
        <f t="shared" si="3"/>
        <v>0.45057556629345635</v>
      </c>
    </row>
    <row r="65" spans="1:22" x14ac:dyDescent="0.25">
      <c r="A65" t="s">
        <v>599</v>
      </c>
      <c r="B65" s="14">
        <v>45507</v>
      </c>
      <c r="C65" s="14">
        <v>45513</v>
      </c>
      <c r="D65" s="7">
        <f>C65-B65</f>
        <v>6</v>
      </c>
      <c r="E65" s="5" t="str">
        <f t="shared" si="4"/>
        <v>Q3</v>
      </c>
      <c r="F65" t="s">
        <v>646</v>
      </c>
      <c r="G65" t="s">
        <v>650</v>
      </c>
      <c r="H65" t="s">
        <v>675</v>
      </c>
      <c r="I65" t="s">
        <v>704</v>
      </c>
      <c r="J65" t="s">
        <v>709</v>
      </c>
      <c r="K65" t="s">
        <v>722</v>
      </c>
      <c r="L65" t="s">
        <v>731</v>
      </c>
      <c r="M65">
        <f t="shared" si="5"/>
        <v>3.4767528723269416E-2</v>
      </c>
      <c r="N65" t="s">
        <v>1316</v>
      </c>
      <c r="O65" s="7">
        <v>643.21</v>
      </c>
      <c r="P65" s="7">
        <v>1112.81</v>
      </c>
      <c r="Q65" s="12">
        <v>0.14099999999999999</v>
      </c>
      <c r="R65">
        <v>4</v>
      </c>
      <c r="S65">
        <f t="shared" si="0"/>
        <v>3823.6151599999998</v>
      </c>
      <c r="T65">
        <f t="shared" si="1"/>
        <v>2572.84</v>
      </c>
      <c r="U65">
        <f t="shared" si="2"/>
        <v>1250.7751599999997</v>
      </c>
      <c r="V65">
        <f t="shared" si="3"/>
        <v>0.32711847496702562</v>
      </c>
    </row>
    <row r="66" spans="1:22" x14ac:dyDescent="0.25">
      <c r="A66" t="s">
        <v>422</v>
      </c>
      <c r="B66" s="14">
        <v>45709</v>
      </c>
      <c r="C66" s="14">
        <v>45737</v>
      </c>
      <c r="D66" s="7">
        <f>C66-B66</f>
        <v>28</v>
      </c>
      <c r="E66" s="5" t="str">
        <f t="shared" si="4"/>
        <v>Q1</v>
      </c>
      <c r="F66" t="s">
        <v>646</v>
      </c>
      <c r="G66" t="s">
        <v>651</v>
      </c>
      <c r="H66" t="s">
        <v>669</v>
      </c>
      <c r="I66" t="s">
        <v>706</v>
      </c>
      <c r="J66" t="s">
        <v>710</v>
      </c>
      <c r="K66" t="s">
        <v>714</v>
      </c>
      <c r="L66" t="s">
        <v>730</v>
      </c>
      <c r="M66">
        <f t="shared" si="5"/>
        <v>0.19586907398200668</v>
      </c>
      <c r="N66" t="s">
        <v>1140</v>
      </c>
      <c r="O66" s="7">
        <v>1437.39</v>
      </c>
      <c r="P66" s="7">
        <v>1388.31</v>
      </c>
      <c r="Q66" s="12">
        <v>0.13800000000000001</v>
      </c>
      <c r="R66">
        <v>18</v>
      </c>
      <c r="S66">
        <f t="shared" ref="S66:S129" si="6">P66*R66*(1-Q66)</f>
        <v>21541.017959999997</v>
      </c>
      <c r="T66">
        <f t="shared" ref="T66:T129" si="7">O66*R66</f>
        <v>25873.02</v>
      </c>
      <c r="U66">
        <f t="shared" ref="U66:U129" si="8">S66-T66</f>
        <v>-4332.002040000003</v>
      </c>
      <c r="V66">
        <f t="shared" ref="V66:V129" si="9">IF(S66=0,0,U66/S66)</f>
        <v>-0.20110479681341872</v>
      </c>
    </row>
    <row r="67" spans="1:22" x14ac:dyDescent="0.25">
      <c r="A67" t="s">
        <v>279</v>
      </c>
      <c r="B67" s="14">
        <v>45763</v>
      </c>
      <c r="C67" s="14">
        <v>45773</v>
      </c>
      <c r="D67" s="7">
        <f t="shared" ref="D67:D130" si="10">C67-B67</f>
        <v>10</v>
      </c>
      <c r="E67" s="5" t="str">
        <f t="shared" ref="E67:E130" si="11">IF(AND(MONTH(B67)&gt;=1,MONTH(B67)&lt;=3),"Q1", IF(AND(MONTH(B67)&gt;=4,MONTH(B67)&lt;=6), "Q2", IF(AND(MONTH(B67)&gt;=7,MONTH(B67)&lt;=9),"Q3", IF(AND(MONTH(B67)&gt;=10,MONTH(B67)&lt;=12),"Q4"))))</f>
        <v>Q2</v>
      </c>
      <c r="F67" t="s">
        <v>646</v>
      </c>
      <c r="G67" t="s">
        <v>651</v>
      </c>
      <c r="H67" t="s">
        <v>663</v>
      </c>
      <c r="I67" t="s">
        <v>706</v>
      </c>
      <c r="J67" t="s">
        <v>710</v>
      </c>
      <c r="K67" t="s">
        <v>721</v>
      </c>
      <c r="L67" t="s">
        <v>731</v>
      </c>
      <c r="M67">
        <f t="shared" ref="M67:M130" si="12">(S67/$S$634)*100</f>
        <v>0.36498553996717675</v>
      </c>
      <c r="N67" t="s">
        <v>998</v>
      </c>
      <c r="O67" s="7">
        <v>1457.44</v>
      </c>
      <c r="P67" s="7">
        <v>1996.81</v>
      </c>
      <c r="Q67" s="12">
        <v>0.126</v>
      </c>
      <c r="R67">
        <v>23</v>
      </c>
      <c r="S67">
        <f t="shared" si="6"/>
        <v>40139.874619999995</v>
      </c>
      <c r="T67">
        <f t="shared" si="7"/>
        <v>33521.120000000003</v>
      </c>
      <c r="U67">
        <f t="shared" si="8"/>
        <v>6618.7546199999924</v>
      </c>
      <c r="V67">
        <f t="shared" si="9"/>
        <v>0.16489225944672353</v>
      </c>
    </row>
    <row r="68" spans="1:22" x14ac:dyDescent="0.25">
      <c r="A68" t="s">
        <v>414</v>
      </c>
      <c r="B68" s="14">
        <v>45541</v>
      </c>
      <c r="C68" s="14">
        <v>45569</v>
      </c>
      <c r="D68" s="7">
        <f t="shared" si="10"/>
        <v>28</v>
      </c>
      <c r="E68" s="5" t="str">
        <f t="shared" si="11"/>
        <v>Q3</v>
      </c>
      <c r="F68" t="s">
        <v>646</v>
      </c>
      <c r="G68" t="s">
        <v>661</v>
      </c>
      <c r="H68" t="s">
        <v>695</v>
      </c>
      <c r="I68" t="s">
        <v>701</v>
      </c>
      <c r="J68" t="s">
        <v>711</v>
      </c>
      <c r="K68" t="s">
        <v>726</v>
      </c>
      <c r="L68" t="s">
        <v>732</v>
      </c>
      <c r="M68">
        <f t="shared" si="12"/>
        <v>0.11795236730418358</v>
      </c>
      <c r="N68" t="s">
        <v>1132</v>
      </c>
      <c r="O68" s="7">
        <v>1174.17</v>
      </c>
      <c r="P68" s="7">
        <v>1641.61</v>
      </c>
      <c r="Q68" s="12">
        <v>0.122</v>
      </c>
      <c r="R68">
        <v>9</v>
      </c>
      <c r="S68">
        <f t="shared" si="6"/>
        <v>12972.00222</v>
      </c>
      <c r="T68">
        <f t="shared" si="7"/>
        <v>10567.53</v>
      </c>
      <c r="U68">
        <f t="shared" si="8"/>
        <v>2404.4722199999997</v>
      </c>
      <c r="V68">
        <f t="shared" si="9"/>
        <v>0.18535860380079394</v>
      </c>
    </row>
    <row r="69" spans="1:22" x14ac:dyDescent="0.25">
      <c r="A69" t="s">
        <v>293</v>
      </c>
      <c r="B69" s="14">
        <v>45459</v>
      </c>
      <c r="C69" s="14">
        <v>45476</v>
      </c>
      <c r="D69" s="7">
        <f t="shared" si="10"/>
        <v>17</v>
      </c>
      <c r="E69" s="5" t="str">
        <f t="shared" si="11"/>
        <v>Q2</v>
      </c>
      <c r="F69" t="s">
        <v>646</v>
      </c>
      <c r="G69" t="s">
        <v>661</v>
      </c>
      <c r="H69" t="s">
        <v>682</v>
      </c>
      <c r="I69" t="s">
        <v>706</v>
      </c>
      <c r="J69" t="s">
        <v>710</v>
      </c>
      <c r="K69" t="s">
        <v>721</v>
      </c>
      <c r="L69" t="s">
        <v>730</v>
      </c>
      <c r="M69">
        <f t="shared" si="12"/>
        <v>0.31679774508180042</v>
      </c>
      <c r="N69" t="s">
        <v>1012</v>
      </c>
      <c r="O69" s="7">
        <v>1173.83</v>
      </c>
      <c r="P69" s="7">
        <v>2328.9</v>
      </c>
      <c r="Q69" s="12">
        <v>0.12</v>
      </c>
      <c r="R69">
        <v>17</v>
      </c>
      <c r="S69">
        <f t="shared" si="6"/>
        <v>34840.344000000005</v>
      </c>
      <c r="T69">
        <f t="shared" si="7"/>
        <v>19955.11</v>
      </c>
      <c r="U69">
        <f t="shared" si="8"/>
        <v>14885.234000000004</v>
      </c>
      <c r="V69">
        <f t="shared" si="9"/>
        <v>0.42724130393201637</v>
      </c>
    </row>
    <row r="70" spans="1:22" x14ac:dyDescent="0.25">
      <c r="A70" t="s">
        <v>37</v>
      </c>
      <c r="B70" s="14">
        <v>45822</v>
      </c>
      <c r="C70" s="14">
        <v>45837</v>
      </c>
      <c r="D70" s="7">
        <f t="shared" si="10"/>
        <v>15</v>
      </c>
      <c r="E70" s="5" t="str">
        <f t="shared" si="11"/>
        <v>Q2</v>
      </c>
      <c r="F70" t="s">
        <v>646</v>
      </c>
      <c r="G70" t="s">
        <v>651</v>
      </c>
      <c r="H70" t="s">
        <v>663</v>
      </c>
      <c r="I70" t="s">
        <v>704</v>
      </c>
      <c r="J70" t="s">
        <v>708</v>
      </c>
      <c r="K70" t="s">
        <v>724</v>
      </c>
      <c r="L70" t="s">
        <v>733</v>
      </c>
      <c r="M70">
        <f t="shared" si="12"/>
        <v>9.9448340796453955E-2</v>
      </c>
      <c r="N70" t="s">
        <v>756</v>
      </c>
      <c r="O70" s="7">
        <v>730.99</v>
      </c>
      <c r="P70" s="7">
        <v>1242.8399999999999</v>
      </c>
      <c r="Q70" s="12">
        <v>0.12</v>
      </c>
      <c r="R70">
        <v>10</v>
      </c>
      <c r="S70">
        <f t="shared" si="6"/>
        <v>10936.992</v>
      </c>
      <c r="T70">
        <f t="shared" si="7"/>
        <v>7309.9</v>
      </c>
      <c r="U70">
        <f t="shared" si="8"/>
        <v>3627.0920000000006</v>
      </c>
      <c r="V70">
        <f t="shared" si="9"/>
        <v>0.33163524303574515</v>
      </c>
    </row>
    <row r="71" spans="1:22" x14ac:dyDescent="0.25">
      <c r="A71" t="s">
        <v>638</v>
      </c>
      <c r="B71" s="14">
        <v>45857</v>
      </c>
      <c r="C71" s="14">
        <v>45869</v>
      </c>
      <c r="D71" s="7">
        <f t="shared" si="10"/>
        <v>12</v>
      </c>
      <c r="E71" s="5" t="str">
        <f t="shared" si="11"/>
        <v>Q3</v>
      </c>
      <c r="F71" t="s">
        <v>646</v>
      </c>
      <c r="G71" t="s">
        <v>650</v>
      </c>
      <c r="H71" t="s">
        <v>664</v>
      </c>
      <c r="I71" t="s">
        <v>705</v>
      </c>
      <c r="K71" t="s">
        <v>719</v>
      </c>
      <c r="L71" t="s">
        <v>733</v>
      </c>
      <c r="M71">
        <f t="shared" si="12"/>
        <v>9.7237806152211337E-2</v>
      </c>
      <c r="N71" t="s">
        <v>1355</v>
      </c>
      <c r="O71" s="7">
        <v>619.64</v>
      </c>
      <c r="P71" s="7">
        <v>861.16</v>
      </c>
      <c r="Q71" s="12">
        <v>0.113</v>
      </c>
      <c r="R71">
        <v>14</v>
      </c>
      <c r="S71">
        <f t="shared" si="6"/>
        <v>10693.88488</v>
      </c>
      <c r="T71">
        <f t="shared" si="7"/>
        <v>8674.9599999999991</v>
      </c>
      <c r="U71">
        <f t="shared" si="8"/>
        <v>2018.9248800000005</v>
      </c>
      <c r="V71">
        <f t="shared" si="9"/>
        <v>0.18879246435276761</v>
      </c>
    </row>
    <row r="72" spans="1:22" x14ac:dyDescent="0.25">
      <c r="A72" t="s">
        <v>263</v>
      </c>
      <c r="B72" s="14">
        <v>45604</v>
      </c>
      <c r="C72" s="14">
        <v>45604</v>
      </c>
      <c r="D72" s="7">
        <f t="shared" si="10"/>
        <v>0</v>
      </c>
      <c r="E72" s="5" t="str">
        <f t="shared" si="11"/>
        <v>Q4</v>
      </c>
      <c r="F72" t="s">
        <v>646</v>
      </c>
      <c r="G72" t="s">
        <v>650</v>
      </c>
      <c r="H72" t="s">
        <v>678</v>
      </c>
      <c r="I72" t="s">
        <v>706</v>
      </c>
      <c r="J72" t="s">
        <v>711</v>
      </c>
      <c r="K72" t="s">
        <v>724</v>
      </c>
      <c r="L72" t="s">
        <v>729</v>
      </c>
      <c r="M72">
        <f t="shared" si="12"/>
        <v>3.2661852369874136E-2</v>
      </c>
      <c r="N72" t="s">
        <v>982</v>
      </c>
      <c r="O72" s="7">
        <v>803.28</v>
      </c>
      <c r="P72" s="7">
        <v>1009</v>
      </c>
      <c r="Q72" s="12">
        <v>0.11</v>
      </c>
      <c r="R72">
        <v>4</v>
      </c>
      <c r="S72">
        <f t="shared" si="6"/>
        <v>3592.04</v>
      </c>
      <c r="T72">
        <f t="shared" si="7"/>
        <v>3213.12</v>
      </c>
      <c r="U72">
        <f t="shared" si="8"/>
        <v>378.92000000000007</v>
      </c>
      <c r="V72">
        <f t="shared" si="9"/>
        <v>0.10548880302001093</v>
      </c>
    </row>
    <row r="73" spans="1:22" x14ac:dyDescent="0.25">
      <c r="A73" t="s">
        <v>160</v>
      </c>
      <c r="B73" s="14">
        <v>45260</v>
      </c>
      <c r="C73" s="15">
        <v>45259</v>
      </c>
      <c r="D73" s="7">
        <f t="shared" si="10"/>
        <v>-1</v>
      </c>
      <c r="E73" s="5" t="str">
        <f t="shared" si="11"/>
        <v>Q4</v>
      </c>
      <c r="F73" t="s">
        <v>646</v>
      </c>
      <c r="G73" t="s">
        <v>661</v>
      </c>
      <c r="H73" t="s">
        <v>687</v>
      </c>
      <c r="I73" t="s">
        <v>705</v>
      </c>
      <c r="J73" t="s">
        <v>707</v>
      </c>
      <c r="K73" t="s">
        <v>718</v>
      </c>
      <c r="L73" t="s">
        <v>731</v>
      </c>
      <c r="M73">
        <f t="shared" si="12"/>
        <v>0.11779193192599366</v>
      </c>
      <c r="N73" t="s">
        <v>879</v>
      </c>
      <c r="O73" s="7">
        <v>275.56</v>
      </c>
      <c r="P73" s="7">
        <v>630.72</v>
      </c>
      <c r="Q73" s="12">
        <v>0.107</v>
      </c>
      <c r="R73">
        <v>23</v>
      </c>
      <c r="S73">
        <f t="shared" si="6"/>
        <v>12954.358080000002</v>
      </c>
      <c r="T73">
        <f t="shared" si="7"/>
        <v>6337.88</v>
      </c>
      <c r="U73">
        <f t="shared" si="8"/>
        <v>6616.4780800000017</v>
      </c>
      <c r="V73">
        <f t="shared" si="9"/>
        <v>0.5107530638831933</v>
      </c>
    </row>
    <row r="74" spans="1:22" x14ac:dyDescent="0.25">
      <c r="A74" t="s">
        <v>282</v>
      </c>
      <c r="B74" s="14">
        <v>45053</v>
      </c>
      <c r="C74" s="15">
        <v>45051</v>
      </c>
      <c r="D74" s="7">
        <f t="shared" si="10"/>
        <v>-2</v>
      </c>
      <c r="E74" s="5" t="str">
        <f t="shared" si="11"/>
        <v>Q2</v>
      </c>
      <c r="F74" t="s">
        <v>646</v>
      </c>
      <c r="G74" t="s">
        <v>651</v>
      </c>
      <c r="H74" t="s">
        <v>663</v>
      </c>
      <c r="I74" t="s">
        <v>703</v>
      </c>
      <c r="J74" t="s">
        <v>710</v>
      </c>
      <c r="K74" t="s">
        <v>720</v>
      </c>
      <c r="L74" t="s">
        <v>727</v>
      </c>
      <c r="M74">
        <f t="shared" si="12"/>
        <v>0.15997972569065547</v>
      </c>
      <c r="N74" t="s">
        <v>1001</v>
      </c>
      <c r="O74" s="7">
        <v>1269.6500000000001</v>
      </c>
      <c r="P74" s="7">
        <v>2462.77</v>
      </c>
      <c r="Q74" s="12">
        <v>0.107</v>
      </c>
      <c r="R74">
        <v>8</v>
      </c>
      <c r="S74">
        <f t="shared" si="6"/>
        <v>17594.028880000002</v>
      </c>
      <c r="T74">
        <f t="shared" si="7"/>
        <v>10157.200000000001</v>
      </c>
      <c r="U74">
        <f t="shared" si="8"/>
        <v>7436.8288800000009</v>
      </c>
      <c r="V74">
        <f t="shared" si="9"/>
        <v>0.42269050089225502</v>
      </c>
    </row>
    <row r="75" spans="1:22" x14ac:dyDescent="0.25">
      <c r="A75" t="s">
        <v>387</v>
      </c>
      <c r="B75" s="14">
        <v>45022</v>
      </c>
      <c r="C75" s="14">
        <v>45024</v>
      </c>
      <c r="D75" s="7">
        <f t="shared" si="10"/>
        <v>2</v>
      </c>
      <c r="E75" s="5" t="str">
        <f t="shared" si="11"/>
        <v>Q2</v>
      </c>
      <c r="F75" t="s">
        <v>646</v>
      </c>
      <c r="G75" t="s">
        <v>651</v>
      </c>
      <c r="H75" t="s">
        <v>669</v>
      </c>
      <c r="I75" t="s">
        <v>705</v>
      </c>
      <c r="J75" t="s">
        <v>711</v>
      </c>
      <c r="K75" t="s">
        <v>723</v>
      </c>
      <c r="L75" t="s">
        <v>732</v>
      </c>
      <c r="M75">
        <f t="shared" si="12"/>
        <v>0.29351989429668818</v>
      </c>
      <c r="N75" t="s">
        <v>1106</v>
      </c>
      <c r="O75" s="7">
        <v>720.35</v>
      </c>
      <c r="P75" s="7">
        <v>1571.66</v>
      </c>
      <c r="Q75" s="12">
        <v>0.107</v>
      </c>
      <c r="R75">
        <v>23</v>
      </c>
      <c r="S75">
        <f t="shared" si="6"/>
        <v>32280.32474</v>
      </c>
      <c r="T75">
        <f t="shared" si="7"/>
        <v>16568.05</v>
      </c>
      <c r="U75">
        <f t="shared" si="8"/>
        <v>15712.274740000001</v>
      </c>
      <c r="V75">
        <f t="shared" si="9"/>
        <v>0.4867446305622265</v>
      </c>
    </row>
    <row r="76" spans="1:22" x14ac:dyDescent="0.25">
      <c r="A76" t="s">
        <v>47</v>
      </c>
      <c r="B76" s="14">
        <v>45862</v>
      </c>
      <c r="C76" s="14">
        <v>45875</v>
      </c>
      <c r="D76" s="7">
        <f t="shared" si="10"/>
        <v>13</v>
      </c>
      <c r="E76" s="5" t="str">
        <f t="shared" si="11"/>
        <v>Q3</v>
      </c>
      <c r="F76" t="s">
        <v>646</v>
      </c>
      <c r="G76" t="s">
        <v>661</v>
      </c>
      <c r="H76" t="s">
        <v>682</v>
      </c>
      <c r="I76" t="s">
        <v>702</v>
      </c>
      <c r="J76" t="s">
        <v>708</v>
      </c>
      <c r="K76" t="s">
        <v>726</v>
      </c>
      <c r="L76" t="s">
        <v>729</v>
      </c>
      <c r="M76">
        <f t="shared" si="12"/>
        <v>8.7722150580354583E-2</v>
      </c>
      <c r="N76" t="s">
        <v>766</v>
      </c>
      <c r="O76" s="7">
        <v>1463.9</v>
      </c>
      <c r="P76" s="7">
        <v>2633.02</v>
      </c>
      <c r="Q76" s="12">
        <v>8.4000000000000005E-2</v>
      </c>
      <c r="R76">
        <v>4</v>
      </c>
      <c r="S76">
        <f t="shared" si="6"/>
        <v>9647.3852800000004</v>
      </c>
      <c r="T76">
        <f t="shared" si="7"/>
        <v>5855.6</v>
      </c>
      <c r="U76">
        <f t="shared" si="8"/>
        <v>3791.7852800000001</v>
      </c>
      <c r="V76">
        <f t="shared" si="9"/>
        <v>0.39303761277791527</v>
      </c>
    </row>
    <row r="77" spans="1:22" x14ac:dyDescent="0.25">
      <c r="A77" t="s">
        <v>428</v>
      </c>
      <c r="B77" s="14">
        <v>45163</v>
      </c>
      <c r="C77" s="14">
        <v>45185</v>
      </c>
      <c r="D77" s="7">
        <f t="shared" si="10"/>
        <v>22</v>
      </c>
      <c r="E77" s="5" t="str">
        <f t="shared" si="11"/>
        <v>Q3</v>
      </c>
      <c r="F77" t="s">
        <v>646</v>
      </c>
      <c r="G77" t="s">
        <v>651</v>
      </c>
      <c r="H77" t="s">
        <v>669</v>
      </c>
      <c r="I77" t="s">
        <v>701</v>
      </c>
      <c r="J77" t="s">
        <v>709</v>
      </c>
      <c r="K77" t="s">
        <v>716</v>
      </c>
      <c r="L77" t="s">
        <v>730</v>
      </c>
      <c r="M77">
        <f t="shared" si="12"/>
        <v>0.14670592039057159</v>
      </c>
      <c r="N77" t="s">
        <v>1146</v>
      </c>
      <c r="O77" s="7">
        <v>1196.83</v>
      </c>
      <c r="P77" s="7">
        <v>2513.5100000000002</v>
      </c>
      <c r="Q77" s="12">
        <v>8.3000000000000004E-2</v>
      </c>
      <c r="R77">
        <v>7</v>
      </c>
      <c r="S77">
        <f t="shared" si="6"/>
        <v>16134.22069</v>
      </c>
      <c r="T77">
        <f t="shared" si="7"/>
        <v>8377.81</v>
      </c>
      <c r="U77">
        <f t="shared" si="8"/>
        <v>7756.4106900000006</v>
      </c>
      <c r="V77">
        <f t="shared" si="9"/>
        <v>0.48074281609445374</v>
      </c>
    </row>
    <row r="78" spans="1:22" x14ac:dyDescent="0.25">
      <c r="A78" t="s">
        <v>18</v>
      </c>
      <c r="B78" s="14">
        <v>45745</v>
      </c>
      <c r="C78" s="14">
        <v>45749</v>
      </c>
      <c r="D78" s="7">
        <f t="shared" si="10"/>
        <v>4</v>
      </c>
      <c r="E78" s="5" t="str">
        <f t="shared" si="11"/>
        <v>Q1</v>
      </c>
      <c r="F78" t="s">
        <v>646</v>
      </c>
      <c r="G78" t="s">
        <v>651</v>
      </c>
      <c r="H78" t="s">
        <v>665</v>
      </c>
      <c r="I78" t="s">
        <v>703</v>
      </c>
      <c r="J78" t="s">
        <v>711</v>
      </c>
      <c r="K78" t="s">
        <v>715</v>
      </c>
      <c r="L78" t="s">
        <v>730</v>
      </c>
      <c r="M78">
        <f t="shared" si="12"/>
        <v>4.7512564253476774E-2</v>
      </c>
      <c r="N78" t="s">
        <v>737</v>
      </c>
      <c r="O78" s="7">
        <v>259.93</v>
      </c>
      <c r="P78" s="7">
        <v>255.94</v>
      </c>
      <c r="Q78" s="12">
        <v>7.1999999999999995E-2</v>
      </c>
      <c r="R78">
        <v>22</v>
      </c>
      <c r="S78">
        <f t="shared" si="6"/>
        <v>5225.2710400000005</v>
      </c>
      <c r="T78">
        <f t="shared" si="7"/>
        <v>5718.46</v>
      </c>
      <c r="U78">
        <f t="shared" si="8"/>
        <v>-493.1889599999995</v>
      </c>
      <c r="V78">
        <f t="shared" si="9"/>
        <v>-9.4385335463861311E-2</v>
      </c>
    </row>
    <row r="79" spans="1:22" x14ac:dyDescent="0.25">
      <c r="A79" t="s">
        <v>100</v>
      </c>
      <c r="B79" s="14">
        <v>45282</v>
      </c>
      <c r="C79" s="14">
        <v>45283</v>
      </c>
      <c r="D79" s="7">
        <f t="shared" si="10"/>
        <v>1</v>
      </c>
      <c r="E79" s="5" t="str">
        <f t="shared" si="11"/>
        <v>Q4</v>
      </c>
      <c r="F79" t="s">
        <v>646</v>
      </c>
      <c r="G79" t="s">
        <v>661</v>
      </c>
      <c r="H79" t="s">
        <v>695</v>
      </c>
      <c r="I79" t="s">
        <v>703</v>
      </c>
      <c r="J79" t="s">
        <v>709</v>
      </c>
      <c r="K79" t="s">
        <v>726</v>
      </c>
      <c r="L79" t="s">
        <v>727</v>
      </c>
      <c r="M79">
        <f t="shared" si="12"/>
        <v>0.11953878163613876</v>
      </c>
      <c r="N79" t="s">
        <v>819</v>
      </c>
      <c r="O79" s="7">
        <v>1186.18</v>
      </c>
      <c r="P79" s="7">
        <v>1285.0899999999999</v>
      </c>
      <c r="Q79" s="12">
        <v>7.0000000000000007E-2</v>
      </c>
      <c r="R79">
        <v>11</v>
      </c>
      <c r="S79">
        <f t="shared" si="6"/>
        <v>13146.470699999998</v>
      </c>
      <c r="T79">
        <f t="shared" si="7"/>
        <v>13047.980000000001</v>
      </c>
      <c r="U79">
        <f t="shared" si="8"/>
        <v>98.49069999999665</v>
      </c>
      <c r="V79">
        <f t="shared" si="9"/>
        <v>7.4917977796121861E-3</v>
      </c>
    </row>
    <row r="80" spans="1:22" x14ac:dyDescent="0.25">
      <c r="A80" t="s">
        <v>553</v>
      </c>
      <c r="B80" s="14">
        <v>45114</v>
      </c>
      <c r="C80" s="14">
        <v>45120</v>
      </c>
      <c r="D80" s="7">
        <f t="shared" si="10"/>
        <v>6</v>
      </c>
      <c r="E80" s="5" t="str">
        <f t="shared" si="11"/>
        <v>Q3</v>
      </c>
      <c r="F80" t="s">
        <v>646</v>
      </c>
      <c r="G80" t="s">
        <v>661</v>
      </c>
      <c r="H80" t="s">
        <v>695</v>
      </c>
      <c r="I80" t="s">
        <v>705</v>
      </c>
      <c r="J80" t="s">
        <v>709</v>
      </c>
      <c r="K80" t="s">
        <v>717</v>
      </c>
      <c r="L80" t="s">
        <v>733</v>
      </c>
      <c r="M80">
        <f t="shared" si="12"/>
        <v>0.18577377919004717</v>
      </c>
      <c r="N80" t="s">
        <v>1270</v>
      </c>
      <c r="O80" s="7">
        <v>612.59</v>
      </c>
      <c r="P80" s="7">
        <v>1424.74</v>
      </c>
      <c r="Q80" s="12">
        <v>4.3999999999999997E-2</v>
      </c>
      <c r="R80">
        <v>15</v>
      </c>
      <c r="S80">
        <f t="shared" si="6"/>
        <v>20430.771599999996</v>
      </c>
      <c r="T80">
        <f t="shared" si="7"/>
        <v>9188.85</v>
      </c>
      <c r="U80">
        <f t="shared" si="8"/>
        <v>11241.921599999996</v>
      </c>
      <c r="V80">
        <f t="shared" si="9"/>
        <v>0.55024459281802152</v>
      </c>
    </row>
    <row r="81" spans="1:22" x14ac:dyDescent="0.25">
      <c r="A81" t="s">
        <v>23</v>
      </c>
      <c r="B81" s="14">
        <v>45416</v>
      </c>
      <c r="C81" s="14">
        <v>45441</v>
      </c>
      <c r="D81" s="7">
        <f t="shared" si="10"/>
        <v>25</v>
      </c>
      <c r="E81" s="5" t="str">
        <f t="shared" si="11"/>
        <v>Q2</v>
      </c>
      <c r="F81" t="s">
        <v>646</v>
      </c>
      <c r="G81" t="s">
        <v>651</v>
      </c>
      <c r="H81" t="s">
        <v>669</v>
      </c>
      <c r="I81" t="s">
        <v>703</v>
      </c>
      <c r="J81" t="s">
        <v>709</v>
      </c>
      <c r="K81" t="s">
        <v>719</v>
      </c>
      <c r="L81" t="s">
        <v>732</v>
      </c>
      <c r="M81">
        <f t="shared" si="12"/>
        <v>0.13379325404347212</v>
      </c>
      <c r="N81" t="s">
        <v>742</v>
      </c>
      <c r="O81" s="7">
        <v>1295.3399999999999</v>
      </c>
      <c r="P81" s="7">
        <v>2530.81</v>
      </c>
      <c r="Q81" s="12">
        <v>3.1E-2</v>
      </c>
      <c r="R81">
        <v>6</v>
      </c>
      <c r="S81">
        <f t="shared" si="6"/>
        <v>14714.12934</v>
      </c>
      <c r="T81">
        <f t="shared" si="7"/>
        <v>7772.0399999999991</v>
      </c>
      <c r="U81">
        <f t="shared" si="8"/>
        <v>6942.0893400000004</v>
      </c>
      <c r="V81">
        <f t="shared" si="9"/>
        <v>0.4717974933880798</v>
      </c>
    </row>
    <row r="82" spans="1:22" x14ac:dyDescent="0.25">
      <c r="A82" t="s">
        <v>415</v>
      </c>
      <c r="B82" s="14">
        <v>45759</v>
      </c>
      <c r="C82" s="14">
        <v>45777</v>
      </c>
      <c r="D82" s="7">
        <f t="shared" si="10"/>
        <v>18</v>
      </c>
      <c r="E82" s="5" t="str">
        <f t="shared" si="11"/>
        <v>Q2</v>
      </c>
      <c r="F82" t="s">
        <v>646</v>
      </c>
      <c r="G82" t="s">
        <v>650</v>
      </c>
      <c r="H82" t="s">
        <v>662</v>
      </c>
      <c r="I82" t="s">
        <v>701</v>
      </c>
      <c r="J82" t="s">
        <v>710</v>
      </c>
      <c r="K82" t="s">
        <v>721</v>
      </c>
      <c r="L82" t="s">
        <v>729</v>
      </c>
      <c r="M82">
        <f t="shared" si="12"/>
        <v>0.16123084729130654</v>
      </c>
      <c r="N82" t="s">
        <v>1133</v>
      </c>
      <c r="O82" s="7">
        <v>1119.04</v>
      </c>
      <c r="P82" s="7">
        <v>1299.02</v>
      </c>
      <c r="Q82" s="12">
        <v>2.5000000000000001E-2</v>
      </c>
      <c r="R82">
        <v>14</v>
      </c>
      <c r="S82">
        <f t="shared" si="6"/>
        <v>17731.623</v>
      </c>
      <c r="T82">
        <f t="shared" si="7"/>
        <v>15666.56</v>
      </c>
      <c r="U82">
        <f t="shared" si="8"/>
        <v>2065.0630000000001</v>
      </c>
      <c r="V82">
        <f t="shared" si="9"/>
        <v>0.11646215352085933</v>
      </c>
    </row>
    <row r="83" spans="1:22" x14ac:dyDescent="0.25">
      <c r="A83" t="s">
        <v>631</v>
      </c>
      <c r="B83" s="14">
        <v>45208</v>
      </c>
      <c r="C83" s="14">
        <v>45210</v>
      </c>
      <c r="D83" s="7">
        <f t="shared" si="10"/>
        <v>2</v>
      </c>
      <c r="E83" s="5" t="str">
        <f t="shared" si="11"/>
        <v>Q4</v>
      </c>
      <c r="F83" t="s">
        <v>646</v>
      </c>
      <c r="G83" t="s">
        <v>651</v>
      </c>
      <c r="H83" t="s">
        <v>663</v>
      </c>
      <c r="I83" t="s">
        <v>702</v>
      </c>
      <c r="J83" t="s">
        <v>711</v>
      </c>
      <c r="K83" t="s">
        <v>723</v>
      </c>
      <c r="L83" t="s">
        <v>729</v>
      </c>
      <c r="M83">
        <f t="shared" si="12"/>
        <v>9.8078317192260733E-2</v>
      </c>
      <c r="N83" t="s">
        <v>1348</v>
      </c>
      <c r="O83" s="7">
        <v>391.16</v>
      </c>
      <c r="P83" s="7">
        <v>902.47</v>
      </c>
      <c r="Q83" s="12">
        <v>4.0000000000000001E-3</v>
      </c>
      <c r="R83">
        <v>12</v>
      </c>
      <c r="S83">
        <f t="shared" si="6"/>
        <v>10786.32144</v>
      </c>
      <c r="T83">
        <f t="shared" si="7"/>
        <v>4693.92</v>
      </c>
      <c r="U83">
        <f t="shared" si="8"/>
        <v>6092.4014399999996</v>
      </c>
      <c r="V83">
        <f t="shared" si="9"/>
        <v>0.56482661618139207</v>
      </c>
    </row>
    <row r="84" spans="1:22" x14ac:dyDescent="0.25">
      <c r="A84" t="s">
        <v>362</v>
      </c>
      <c r="B84" s="14">
        <v>45050</v>
      </c>
      <c r="C84" s="14">
        <v>45062</v>
      </c>
      <c r="D84" s="7">
        <f t="shared" si="10"/>
        <v>12</v>
      </c>
      <c r="E84" s="5" t="str">
        <f t="shared" si="11"/>
        <v>Q2</v>
      </c>
      <c r="F84" t="s">
        <v>646</v>
      </c>
      <c r="G84" t="s">
        <v>651</v>
      </c>
      <c r="H84" t="s">
        <v>669</v>
      </c>
      <c r="I84" t="s">
        <v>705</v>
      </c>
      <c r="J84" t="s">
        <v>709</v>
      </c>
      <c r="K84" t="s">
        <v>713</v>
      </c>
      <c r="L84" t="s">
        <v>730</v>
      </c>
      <c r="M84">
        <f t="shared" si="12"/>
        <v>2.0066083843676089E-2</v>
      </c>
      <c r="N84" t="s">
        <v>1081</v>
      </c>
      <c r="O84" s="7">
        <v>77.739999999999995</v>
      </c>
      <c r="P84" s="7">
        <v>147.12</v>
      </c>
      <c r="Q84" s="12">
        <v>0</v>
      </c>
      <c r="R84">
        <v>15</v>
      </c>
      <c r="S84">
        <f t="shared" si="6"/>
        <v>2206.8000000000002</v>
      </c>
      <c r="T84">
        <f t="shared" si="7"/>
        <v>1166.0999999999999</v>
      </c>
      <c r="U84">
        <f t="shared" si="8"/>
        <v>1040.7000000000003</v>
      </c>
      <c r="V84">
        <f t="shared" si="9"/>
        <v>0.47158781946710177</v>
      </c>
    </row>
    <row r="85" spans="1:22" x14ac:dyDescent="0.25">
      <c r="A85" t="s">
        <v>67</v>
      </c>
      <c r="B85" s="14">
        <v>45016</v>
      </c>
      <c r="C85" s="14">
        <v>45021</v>
      </c>
      <c r="D85" s="7">
        <f t="shared" si="10"/>
        <v>5</v>
      </c>
      <c r="E85" s="5" t="str">
        <f t="shared" si="11"/>
        <v>Q1</v>
      </c>
      <c r="F85" t="s">
        <v>646</v>
      </c>
      <c r="G85" t="s">
        <v>650</v>
      </c>
      <c r="H85" t="s">
        <v>678</v>
      </c>
      <c r="I85" t="s">
        <v>702</v>
      </c>
      <c r="J85" t="s">
        <v>709</v>
      </c>
      <c r="K85" t="s">
        <v>717</v>
      </c>
      <c r="L85" t="s">
        <v>731</v>
      </c>
      <c r="M85">
        <f t="shared" si="12"/>
        <v>5.2609365553172506E-2</v>
      </c>
      <c r="N85" t="s">
        <v>786</v>
      </c>
      <c r="O85" s="7">
        <v>533.26</v>
      </c>
      <c r="P85" s="7">
        <v>385.72</v>
      </c>
      <c r="Q85" s="12">
        <v>0</v>
      </c>
      <c r="R85">
        <v>15</v>
      </c>
      <c r="S85">
        <f t="shared" si="6"/>
        <v>5785.8</v>
      </c>
      <c r="T85">
        <f t="shared" si="7"/>
        <v>7998.9</v>
      </c>
      <c r="U85">
        <f t="shared" si="8"/>
        <v>-2213.0999999999995</v>
      </c>
      <c r="V85">
        <f t="shared" si="9"/>
        <v>-0.38250544436378708</v>
      </c>
    </row>
    <row r="86" spans="1:22" x14ac:dyDescent="0.25">
      <c r="A86" t="s">
        <v>43</v>
      </c>
      <c r="B86" s="14">
        <v>45030</v>
      </c>
      <c r="C86" s="14">
        <v>45060</v>
      </c>
      <c r="D86" s="7">
        <f t="shared" si="10"/>
        <v>30</v>
      </c>
      <c r="E86" s="5" t="str">
        <f t="shared" si="11"/>
        <v>Q2</v>
      </c>
      <c r="F86" t="s">
        <v>646</v>
      </c>
      <c r="G86" t="s">
        <v>650</v>
      </c>
      <c r="H86" t="s">
        <v>678</v>
      </c>
      <c r="I86" t="s">
        <v>704</v>
      </c>
      <c r="J86" t="s">
        <v>711</v>
      </c>
      <c r="K86" t="s">
        <v>724</v>
      </c>
      <c r="L86" t="s">
        <v>730</v>
      </c>
      <c r="M86">
        <f t="shared" si="12"/>
        <v>3.5582109523777987E-2</v>
      </c>
      <c r="N86" t="s">
        <v>762</v>
      </c>
      <c r="O86" s="7">
        <v>209.25</v>
      </c>
      <c r="P86" s="7">
        <v>434.8</v>
      </c>
      <c r="Q86" s="12">
        <v>0</v>
      </c>
      <c r="R86">
        <v>9</v>
      </c>
      <c r="S86">
        <f t="shared" si="6"/>
        <v>3913.2000000000003</v>
      </c>
      <c r="T86">
        <f t="shared" si="7"/>
        <v>1883.25</v>
      </c>
      <c r="U86">
        <f t="shared" si="8"/>
        <v>2029.9500000000003</v>
      </c>
      <c r="V86">
        <f t="shared" si="9"/>
        <v>0.51874425022999082</v>
      </c>
    </row>
    <row r="87" spans="1:22" x14ac:dyDescent="0.25">
      <c r="A87" t="s">
        <v>544</v>
      </c>
      <c r="B87" s="14">
        <v>45162</v>
      </c>
      <c r="C87" s="14">
        <v>45189</v>
      </c>
      <c r="D87" s="7">
        <f t="shared" si="10"/>
        <v>27</v>
      </c>
      <c r="E87" s="5" t="str">
        <f t="shared" si="11"/>
        <v>Q3</v>
      </c>
      <c r="F87" t="s">
        <v>646</v>
      </c>
      <c r="G87" t="s">
        <v>661</v>
      </c>
      <c r="H87" t="s">
        <v>687</v>
      </c>
      <c r="I87" t="s">
        <v>705</v>
      </c>
      <c r="J87" t="s">
        <v>707</v>
      </c>
      <c r="K87" t="s">
        <v>724</v>
      </c>
      <c r="L87" t="s">
        <v>728</v>
      </c>
      <c r="M87">
        <f t="shared" si="12"/>
        <v>0.3038927835544149</v>
      </c>
      <c r="N87" t="s">
        <v>1262</v>
      </c>
      <c r="O87" s="7">
        <v>1399.64</v>
      </c>
      <c r="P87" s="7">
        <v>3342.11</v>
      </c>
      <c r="Q87" s="12">
        <v>0</v>
      </c>
      <c r="R87">
        <v>10</v>
      </c>
      <c r="S87">
        <f t="shared" si="6"/>
        <v>33421.1</v>
      </c>
      <c r="T87">
        <f t="shared" si="7"/>
        <v>13996.400000000001</v>
      </c>
      <c r="U87">
        <f t="shared" si="8"/>
        <v>19424.699999999997</v>
      </c>
      <c r="V87">
        <f t="shared" si="9"/>
        <v>0.58121067229983447</v>
      </c>
    </row>
    <row r="88" spans="1:22" x14ac:dyDescent="0.25">
      <c r="A88" t="s">
        <v>355</v>
      </c>
      <c r="B88" s="14">
        <v>45131</v>
      </c>
      <c r="C88" s="14">
        <v>45157</v>
      </c>
      <c r="D88" s="7">
        <f t="shared" si="10"/>
        <v>26</v>
      </c>
      <c r="E88" s="5" t="str">
        <f t="shared" si="11"/>
        <v>Q3</v>
      </c>
      <c r="F88" t="s">
        <v>646</v>
      </c>
      <c r="G88" t="s">
        <v>650</v>
      </c>
      <c r="H88" t="s">
        <v>664</v>
      </c>
      <c r="I88" t="s">
        <v>706</v>
      </c>
      <c r="J88" t="s">
        <v>710</v>
      </c>
      <c r="K88" t="s">
        <v>724</v>
      </c>
      <c r="L88" t="s">
        <v>733</v>
      </c>
      <c r="M88">
        <f t="shared" si="12"/>
        <v>0.15519606805016256</v>
      </c>
      <c r="N88" t="s">
        <v>1074</v>
      </c>
      <c r="O88" s="7">
        <v>661.45</v>
      </c>
      <c r="P88" s="7">
        <v>1634.86</v>
      </c>
      <c r="Q88" s="12">
        <v>0.56499999999999995</v>
      </c>
      <c r="R88">
        <v>24</v>
      </c>
      <c r="S88">
        <f t="shared" si="6"/>
        <v>17067.938400000003</v>
      </c>
      <c r="T88">
        <f t="shared" si="7"/>
        <v>15874.800000000001</v>
      </c>
      <c r="U88">
        <f t="shared" si="8"/>
        <v>1193.1384000000016</v>
      </c>
      <c r="V88">
        <f t="shared" si="9"/>
        <v>6.9905244092045793E-2</v>
      </c>
    </row>
    <row r="89" spans="1:22" x14ac:dyDescent="0.25">
      <c r="A89" t="s">
        <v>89</v>
      </c>
      <c r="B89" s="14">
        <v>45066</v>
      </c>
      <c r="C89" s="15">
        <v>45064</v>
      </c>
      <c r="D89" s="7">
        <f t="shared" si="10"/>
        <v>-2</v>
      </c>
      <c r="E89" s="5" t="str">
        <f t="shared" si="11"/>
        <v>Q2</v>
      </c>
      <c r="F89" t="s">
        <v>646</v>
      </c>
      <c r="G89" t="s">
        <v>661</v>
      </c>
      <c r="H89" t="s">
        <v>687</v>
      </c>
      <c r="I89" t="s">
        <v>701</v>
      </c>
      <c r="J89" t="s">
        <v>710</v>
      </c>
      <c r="K89" t="s">
        <v>720</v>
      </c>
      <c r="L89" t="s">
        <v>727</v>
      </c>
      <c r="M89">
        <f t="shared" si="12"/>
        <v>4.026235172560063E-2</v>
      </c>
      <c r="N89" t="s">
        <v>808</v>
      </c>
      <c r="O89" s="7">
        <v>917.88</v>
      </c>
      <c r="P89" s="7">
        <v>1347.92</v>
      </c>
      <c r="Q89" s="12">
        <v>0.34300000000000003</v>
      </c>
      <c r="R89">
        <v>5</v>
      </c>
      <c r="S89">
        <f t="shared" si="6"/>
        <v>4427.9172000000008</v>
      </c>
      <c r="T89">
        <f t="shared" si="7"/>
        <v>4589.3999999999996</v>
      </c>
      <c r="U89">
        <f t="shared" si="8"/>
        <v>-161.48279999999886</v>
      </c>
      <c r="V89">
        <f t="shared" si="9"/>
        <v>-3.6469245630880096E-2</v>
      </c>
    </row>
    <row r="90" spans="1:22" x14ac:dyDescent="0.25">
      <c r="A90" t="s">
        <v>353</v>
      </c>
      <c r="B90" s="14">
        <v>45132</v>
      </c>
      <c r="C90" s="14">
        <v>45148</v>
      </c>
      <c r="D90" s="7">
        <f t="shared" si="10"/>
        <v>16</v>
      </c>
      <c r="E90" s="5" t="str">
        <f t="shared" si="11"/>
        <v>Q3</v>
      </c>
      <c r="F90" t="s">
        <v>646</v>
      </c>
      <c r="G90" t="s">
        <v>651</v>
      </c>
      <c r="H90" t="s">
        <v>663</v>
      </c>
      <c r="I90" t="s">
        <v>701</v>
      </c>
      <c r="J90" t="s">
        <v>710</v>
      </c>
      <c r="K90" t="s">
        <v>714</v>
      </c>
      <c r="L90" t="s">
        <v>733</v>
      </c>
      <c r="M90">
        <f t="shared" si="12"/>
        <v>2.7474036813214357E-2</v>
      </c>
      <c r="N90" t="s">
        <v>1072</v>
      </c>
      <c r="O90" s="7">
        <v>506.83</v>
      </c>
      <c r="P90" s="7">
        <v>441.74</v>
      </c>
      <c r="Q90" s="12">
        <v>0.24</v>
      </c>
      <c r="R90">
        <v>9</v>
      </c>
      <c r="S90">
        <f t="shared" si="6"/>
        <v>3021.5016000000001</v>
      </c>
      <c r="T90">
        <f t="shared" si="7"/>
        <v>4561.47</v>
      </c>
      <c r="U90">
        <f t="shared" si="8"/>
        <v>-1539.9684000000002</v>
      </c>
      <c r="V90">
        <f t="shared" si="9"/>
        <v>-0.50966989393618067</v>
      </c>
    </row>
    <row r="91" spans="1:22" x14ac:dyDescent="0.25">
      <c r="A91" t="s">
        <v>561</v>
      </c>
      <c r="B91" s="14">
        <v>45355</v>
      </c>
      <c r="C91" s="14">
        <v>45367</v>
      </c>
      <c r="D91" s="7">
        <f t="shared" si="10"/>
        <v>12</v>
      </c>
      <c r="E91" s="5" t="str">
        <f t="shared" si="11"/>
        <v>Q1</v>
      </c>
      <c r="F91" t="s">
        <v>646</v>
      </c>
      <c r="G91" t="s">
        <v>661</v>
      </c>
      <c r="H91" t="s">
        <v>682</v>
      </c>
      <c r="I91" t="s">
        <v>706</v>
      </c>
      <c r="J91" t="s">
        <v>708</v>
      </c>
      <c r="K91" t="s">
        <v>724</v>
      </c>
      <c r="L91" t="s">
        <v>732</v>
      </c>
      <c r="M91">
        <f t="shared" si="12"/>
        <v>4.3886962429646778E-2</v>
      </c>
      <c r="N91" t="s">
        <v>1278</v>
      </c>
      <c r="O91" s="7">
        <v>441.08</v>
      </c>
      <c r="P91" s="7">
        <v>1054.29</v>
      </c>
      <c r="Q91" s="12">
        <v>0.23699999999999999</v>
      </c>
      <c r="R91">
        <v>6</v>
      </c>
      <c r="S91">
        <f t="shared" si="6"/>
        <v>4826.5396199999996</v>
      </c>
      <c r="T91">
        <f t="shared" si="7"/>
        <v>2646.48</v>
      </c>
      <c r="U91">
        <f t="shared" si="8"/>
        <v>2180.0596199999995</v>
      </c>
      <c r="V91">
        <f t="shared" si="9"/>
        <v>0.45168169985932899</v>
      </c>
    </row>
    <row r="92" spans="1:22" x14ac:dyDescent="0.25">
      <c r="A92" t="s">
        <v>480</v>
      </c>
      <c r="B92" s="14">
        <v>45618</v>
      </c>
      <c r="C92" s="14">
        <v>45641</v>
      </c>
      <c r="D92" s="7">
        <f t="shared" si="10"/>
        <v>23</v>
      </c>
      <c r="E92" s="5" t="str">
        <f t="shared" si="11"/>
        <v>Q4</v>
      </c>
      <c r="F92" t="s">
        <v>646</v>
      </c>
      <c r="G92" t="s">
        <v>650</v>
      </c>
      <c r="H92" t="s">
        <v>675</v>
      </c>
      <c r="I92" t="s">
        <v>703</v>
      </c>
      <c r="J92" t="s">
        <v>708</v>
      </c>
      <c r="K92" t="s">
        <v>712</v>
      </c>
      <c r="L92" t="s">
        <v>727</v>
      </c>
      <c r="M92">
        <f t="shared" si="12"/>
        <v>0.76503644651765401</v>
      </c>
      <c r="N92" t="s">
        <v>1198</v>
      </c>
      <c r="O92" s="7">
        <v>1335.76</v>
      </c>
      <c r="P92" s="7">
        <v>2665.91</v>
      </c>
      <c r="Q92" s="12">
        <v>0.21099999999999999</v>
      </c>
      <c r="R92">
        <v>40</v>
      </c>
      <c r="S92">
        <f t="shared" si="6"/>
        <v>84136.119600000005</v>
      </c>
      <c r="T92">
        <f t="shared" si="7"/>
        <v>53430.400000000001</v>
      </c>
      <c r="U92">
        <f t="shared" si="8"/>
        <v>30705.719600000004</v>
      </c>
      <c r="V92">
        <f t="shared" si="9"/>
        <v>0.36495288522909253</v>
      </c>
    </row>
    <row r="93" spans="1:22" x14ac:dyDescent="0.25">
      <c r="A93" t="s">
        <v>87</v>
      </c>
      <c r="B93" s="14">
        <v>45394</v>
      </c>
      <c r="C93" s="14">
        <v>45419</v>
      </c>
      <c r="D93" s="7">
        <f t="shared" si="10"/>
        <v>25</v>
      </c>
      <c r="E93" s="5" t="str">
        <f t="shared" si="11"/>
        <v>Q2</v>
      </c>
      <c r="F93" t="s">
        <v>646</v>
      </c>
      <c r="G93" t="s">
        <v>661</v>
      </c>
      <c r="H93" t="s">
        <v>682</v>
      </c>
      <c r="I93" t="s">
        <v>702</v>
      </c>
      <c r="J93" t="s">
        <v>709</v>
      </c>
      <c r="K93" t="s">
        <v>720</v>
      </c>
      <c r="L93" t="s">
        <v>731</v>
      </c>
      <c r="M93">
        <f t="shared" si="12"/>
        <v>0.18341747328492278</v>
      </c>
      <c r="N93" t="s">
        <v>806</v>
      </c>
      <c r="O93" s="7">
        <v>1376.51</v>
      </c>
      <c r="P93" s="7">
        <v>1455.91</v>
      </c>
      <c r="Q93" s="12">
        <v>0.185</v>
      </c>
      <c r="R93">
        <v>17</v>
      </c>
      <c r="S93">
        <f t="shared" si="6"/>
        <v>20171.63305</v>
      </c>
      <c r="T93">
        <f t="shared" si="7"/>
        <v>23400.67</v>
      </c>
      <c r="U93">
        <f t="shared" si="8"/>
        <v>-3229.0369499999979</v>
      </c>
      <c r="V93">
        <f t="shared" si="9"/>
        <v>-0.1600781127634085</v>
      </c>
    </row>
    <row r="94" spans="1:22" x14ac:dyDescent="0.25">
      <c r="A94" t="s">
        <v>161</v>
      </c>
      <c r="B94" s="14">
        <v>45911</v>
      </c>
      <c r="C94" s="14">
        <v>45928</v>
      </c>
      <c r="D94" s="7">
        <f t="shared" si="10"/>
        <v>17</v>
      </c>
      <c r="E94" s="5" t="str">
        <f t="shared" si="11"/>
        <v>Q3</v>
      </c>
      <c r="F94" t="s">
        <v>646</v>
      </c>
      <c r="G94" t="s">
        <v>650</v>
      </c>
      <c r="H94" t="s">
        <v>664</v>
      </c>
      <c r="I94" t="s">
        <v>703</v>
      </c>
      <c r="J94" t="s">
        <v>707</v>
      </c>
      <c r="K94" t="s">
        <v>713</v>
      </c>
      <c r="L94" t="s">
        <v>731</v>
      </c>
      <c r="M94">
        <f t="shared" si="12"/>
        <v>3.2396913321676934E-2</v>
      </c>
      <c r="N94" t="s">
        <v>880</v>
      </c>
      <c r="O94" s="7">
        <v>891.46</v>
      </c>
      <c r="P94" s="7">
        <v>728.61</v>
      </c>
      <c r="Q94" s="12">
        <v>0.185</v>
      </c>
      <c r="R94">
        <v>6</v>
      </c>
      <c r="S94">
        <f t="shared" si="6"/>
        <v>3562.9028999999996</v>
      </c>
      <c r="T94">
        <f t="shared" si="7"/>
        <v>5348.76</v>
      </c>
      <c r="U94">
        <f t="shared" si="8"/>
        <v>-1785.8571000000006</v>
      </c>
      <c r="V94">
        <f t="shared" si="9"/>
        <v>-0.50123653383874167</v>
      </c>
    </row>
    <row r="95" spans="1:22" x14ac:dyDescent="0.25">
      <c r="A95" t="s">
        <v>374</v>
      </c>
      <c r="B95" s="14">
        <v>45309</v>
      </c>
      <c r="C95" s="14">
        <v>45325</v>
      </c>
      <c r="D95" s="7">
        <f t="shared" si="10"/>
        <v>16</v>
      </c>
      <c r="E95" s="5" t="str">
        <f t="shared" si="11"/>
        <v>Q1</v>
      </c>
      <c r="F95" t="s">
        <v>646</v>
      </c>
      <c r="G95" t="s">
        <v>661</v>
      </c>
      <c r="H95" t="s">
        <v>695</v>
      </c>
      <c r="I95" t="s">
        <v>703</v>
      </c>
      <c r="J95" t="s">
        <v>710</v>
      </c>
      <c r="K95" t="s">
        <v>716</v>
      </c>
      <c r="L95" t="s">
        <v>728</v>
      </c>
      <c r="M95">
        <f t="shared" si="12"/>
        <v>0.13469892457153379</v>
      </c>
      <c r="N95" t="s">
        <v>1093</v>
      </c>
      <c r="O95" s="7">
        <v>666.23</v>
      </c>
      <c r="P95" s="7">
        <v>1382.91</v>
      </c>
      <c r="Q95" s="12">
        <v>0.17599999999999999</v>
      </c>
      <c r="R95">
        <v>13</v>
      </c>
      <c r="S95">
        <f t="shared" si="6"/>
        <v>14813.731920000002</v>
      </c>
      <c r="T95">
        <f t="shared" si="7"/>
        <v>8660.99</v>
      </c>
      <c r="U95">
        <f t="shared" si="8"/>
        <v>6152.7419200000022</v>
      </c>
      <c r="V95">
        <f t="shared" si="9"/>
        <v>0.41534043907553048</v>
      </c>
    </row>
    <row r="96" spans="1:22" x14ac:dyDescent="0.25">
      <c r="A96" t="s">
        <v>623</v>
      </c>
      <c r="B96" s="14">
        <v>45623</v>
      </c>
      <c r="C96" s="14">
        <v>45650</v>
      </c>
      <c r="D96" s="7">
        <f t="shared" si="10"/>
        <v>27</v>
      </c>
      <c r="E96" s="5" t="str">
        <f t="shared" si="11"/>
        <v>Q4</v>
      </c>
      <c r="F96" t="s">
        <v>646</v>
      </c>
      <c r="G96" t="s">
        <v>650</v>
      </c>
      <c r="H96" t="s">
        <v>675</v>
      </c>
      <c r="I96" t="s">
        <v>701</v>
      </c>
      <c r="J96" t="s">
        <v>711</v>
      </c>
      <c r="K96" t="s">
        <v>717</v>
      </c>
      <c r="L96" t="s">
        <v>728</v>
      </c>
      <c r="M96">
        <f t="shared" si="12"/>
        <v>2.4880472562457245E-2</v>
      </c>
      <c r="N96" t="s">
        <v>1340</v>
      </c>
      <c r="O96" s="7">
        <v>143.33000000000001</v>
      </c>
      <c r="P96" s="7">
        <v>233.51</v>
      </c>
      <c r="Q96" s="12">
        <v>0.16300000000000001</v>
      </c>
      <c r="R96">
        <v>14</v>
      </c>
      <c r="S96">
        <f t="shared" si="6"/>
        <v>2736.27018</v>
      </c>
      <c r="T96">
        <f t="shared" si="7"/>
        <v>2006.6200000000001</v>
      </c>
      <c r="U96">
        <f t="shared" si="8"/>
        <v>729.65017999999986</v>
      </c>
      <c r="V96">
        <f t="shared" si="9"/>
        <v>0.26665867476580835</v>
      </c>
    </row>
    <row r="97" spans="1:22" x14ac:dyDescent="0.25">
      <c r="A97" t="s">
        <v>199</v>
      </c>
      <c r="B97" s="14">
        <v>45587</v>
      </c>
      <c r="C97" s="14">
        <v>45594</v>
      </c>
      <c r="D97" s="7">
        <f t="shared" si="10"/>
        <v>7</v>
      </c>
      <c r="E97" s="5" t="str">
        <f t="shared" si="11"/>
        <v>Q4</v>
      </c>
      <c r="F97" t="s">
        <v>646</v>
      </c>
      <c r="G97" t="s">
        <v>651</v>
      </c>
      <c r="H97" t="s">
        <v>663</v>
      </c>
      <c r="I97" t="s">
        <v>706</v>
      </c>
      <c r="J97" t="s">
        <v>709</v>
      </c>
      <c r="K97" t="s">
        <v>724</v>
      </c>
      <c r="L97" t="s">
        <v>732</v>
      </c>
      <c r="M97">
        <f t="shared" si="12"/>
        <v>0.24012957791027037</v>
      </c>
      <c r="N97" t="s">
        <v>918</v>
      </c>
      <c r="O97" s="7">
        <v>1023.06</v>
      </c>
      <c r="P97" s="7">
        <v>1355.61</v>
      </c>
      <c r="Q97" s="12">
        <v>0.153</v>
      </c>
      <c r="R97">
        <v>23</v>
      </c>
      <c r="S97">
        <f t="shared" si="6"/>
        <v>26408.63841</v>
      </c>
      <c r="T97">
        <f t="shared" si="7"/>
        <v>23530.379999999997</v>
      </c>
      <c r="U97">
        <f t="shared" si="8"/>
        <v>2878.2584100000022</v>
      </c>
      <c r="V97">
        <f t="shared" si="9"/>
        <v>0.10898927711888809</v>
      </c>
    </row>
    <row r="98" spans="1:22" x14ac:dyDescent="0.25">
      <c r="A98" t="s">
        <v>541</v>
      </c>
      <c r="B98" s="14">
        <v>45695</v>
      </c>
      <c r="C98" s="14">
        <v>45704</v>
      </c>
      <c r="D98" s="7">
        <f t="shared" si="10"/>
        <v>9</v>
      </c>
      <c r="E98" s="5" t="str">
        <f t="shared" si="11"/>
        <v>Q1</v>
      </c>
      <c r="F98" t="s">
        <v>646</v>
      </c>
      <c r="G98" t="s">
        <v>651</v>
      </c>
      <c r="H98" t="s">
        <v>665</v>
      </c>
      <c r="I98" t="s">
        <v>705</v>
      </c>
      <c r="J98" t="s">
        <v>709</v>
      </c>
      <c r="K98" t="s">
        <v>712</v>
      </c>
      <c r="L98" t="s">
        <v>728</v>
      </c>
      <c r="M98">
        <f t="shared" si="12"/>
        <v>1.9518313307330906E-2</v>
      </c>
      <c r="N98" t="s">
        <v>1259</v>
      </c>
      <c r="O98" s="7">
        <v>90.68</v>
      </c>
      <c r="P98" s="7">
        <v>118.17</v>
      </c>
      <c r="Q98" s="12">
        <v>0.13500000000000001</v>
      </c>
      <c r="R98">
        <v>21</v>
      </c>
      <c r="S98">
        <f t="shared" si="6"/>
        <v>2146.5580500000001</v>
      </c>
      <c r="T98">
        <f t="shared" si="7"/>
        <v>1904.2800000000002</v>
      </c>
      <c r="U98">
        <f t="shared" si="8"/>
        <v>242.27804999999989</v>
      </c>
      <c r="V98">
        <f t="shared" si="9"/>
        <v>0.11286815653552899</v>
      </c>
    </row>
    <row r="99" spans="1:22" x14ac:dyDescent="0.25">
      <c r="A99" t="s">
        <v>402</v>
      </c>
      <c r="B99" s="14">
        <v>45419</v>
      </c>
      <c r="C99" s="14">
        <v>45424</v>
      </c>
      <c r="D99" s="7">
        <f t="shared" si="10"/>
        <v>5</v>
      </c>
      <c r="E99" s="5" t="str">
        <f t="shared" si="11"/>
        <v>Q2</v>
      </c>
      <c r="F99" t="s">
        <v>646</v>
      </c>
      <c r="G99" t="s">
        <v>651</v>
      </c>
      <c r="H99" t="s">
        <v>669</v>
      </c>
      <c r="I99" t="s">
        <v>703</v>
      </c>
      <c r="J99" t="s">
        <v>709</v>
      </c>
      <c r="K99" t="s">
        <v>716</v>
      </c>
      <c r="L99" t="s">
        <v>731</v>
      </c>
      <c r="M99">
        <f t="shared" si="12"/>
        <v>0.17979606389777836</v>
      </c>
      <c r="N99" t="s">
        <v>1120</v>
      </c>
      <c r="O99" s="7">
        <v>1163.99</v>
      </c>
      <c r="P99" s="7">
        <v>1617.85</v>
      </c>
      <c r="Q99" s="12">
        <v>0.127</v>
      </c>
      <c r="R99">
        <v>14</v>
      </c>
      <c r="S99">
        <f t="shared" si="6"/>
        <v>19773.362699999998</v>
      </c>
      <c r="T99">
        <f t="shared" si="7"/>
        <v>16295.86</v>
      </c>
      <c r="U99">
        <f t="shared" si="8"/>
        <v>3477.5026999999973</v>
      </c>
      <c r="V99">
        <f t="shared" si="9"/>
        <v>0.17586804797749436</v>
      </c>
    </row>
    <row r="100" spans="1:22" x14ac:dyDescent="0.25">
      <c r="A100" t="s">
        <v>340</v>
      </c>
      <c r="B100" s="14">
        <v>45053</v>
      </c>
      <c r="C100" s="14">
        <v>45075</v>
      </c>
      <c r="D100" s="7">
        <f t="shared" si="10"/>
        <v>22</v>
      </c>
      <c r="E100" s="5" t="str">
        <f t="shared" si="11"/>
        <v>Q2</v>
      </c>
      <c r="F100" t="s">
        <v>646</v>
      </c>
      <c r="G100" t="s">
        <v>661</v>
      </c>
      <c r="H100" t="s">
        <v>687</v>
      </c>
      <c r="I100" t="s">
        <v>702</v>
      </c>
      <c r="J100" t="s">
        <v>707</v>
      </c>
      <c r="K100" t="s">
        <v>723</v>
      </c>
      <c r="L100" t="s">
        <v>733</v>
      </c>
      <c r="M100">
        <f t="shared" si="12"/>
        <v>8.9373983910034246E-2</v>
      </c>
      <c r="N100" t="s">
        <v>1059</v>
      </c>
      <c r="O100" s="7">
        <v>653.86</v>
      </c>
      <c r="P100" s="7">
        <v>931.84</v>
      </c>
      <c r="Q100" s="12">
        <v>0.121</v>
      </c>
      <c r="R100">
        <v>12</v>
      </c>
      <c r="S100">
        <f t="shared" si="6"/>
        <v>9829.0483199999999</v>
      </c>
      <c r="T100">
        <f t="shared" si="7"/>
        <v>7846.32</v>
      </c>
      <c r="U100">
        <f t="shared" si="8"/>
        <v>1982.7283200000002</v>
      </c>
      <c r="V100">
        <f t="shared" si="9"/>
        <v>0.20172129136506273</v>
      </c>
    </row>
    <row r="101" spans="1:22" x14ac:dyDescent="0.25">
      <c r="A101" t="s">
        <v>127</v>
      </c>
      <c r="B101" s="14">
        <v>45472</v>
      </c>
      <c r="C101" s="14">
        <v>45499</v>
      </c>
      <c r="D101" s="7">
        <f t="shared" si="10"/>
        <v>27</v>
      </c>
      <c r="E101" s="5" t="str">
        <f t="shared" si="11"/>
        <v>Q2</v>
      </c>
      <c r="F101" t="s">
        <v>646</v>
      </c>
      <c r="G101" t="s">
        <v>661</v>
      </c>
      <c r="H101" t="s">
        <v>687</v>
      </c>
      <c r="I101" t="s">
        <v>706</v>
      </c>
      <c r="J101" t="s">
        <v>707</v>
      </c>
      <c r="K101" t="s">
        <v>717</v>
      </c>
      <c r="L101" t="s">
        <v>729</v>
      </c>
      <c r="M101">
        <f t="shared" si="12"/>
        <v>3.154221435645778E-4</v>
      </c>
      <c r="N101" t="s">
        <v>846</v>
      </c>
      <c r="O101" s="7">
        <v>5.36</v>
      </c>
      <c r="P101" s="7">
        <v>4.37</v>
      </c>
      <c r="Q101" s="12">
        <v>0.11799999999999999</v>
      </c>
      <c r="R101">
        <v>9</v>
      </c>
      <c r="S101">
        <f t="shared" si="6"/>
        <v>34.689059999999998</v>
      </c>
      <c r="T101">
        <f t="shared" si="7"/>
        <v>48.24</v>
      </c>
      <c r="U101">
        <f t="shared" si="8"/>
        <v>-13.550940000000004</v>
      </c>
      <c r="V101">
        <f t="shared" si="9"/>
        <v>-0.39064016148030545</v>
      </c>
    </row>
    <row r="102" spans="1:22" x14ac:dyDescent="0.25">
      <c r="A102" t="s">
        <v>554</v>
      </c>
      <c r="B102" s="14">
        <v>45288</v>
      </c>
      <c r="C102" s="14">
        <v>45292</v>
      </c>
      <c r="D102" s="7">
        <f t="shared" si="10"/>
        <v>4</v>
      </c>
      <c r="E102" s="5" t="str">
        <f t="shared" si="11"/>
        <v>Q4</v>
      </c>
      <c r="F102" t="s">
        <v>646</v>
      </c>
      <c r="G102" t="s">
        <v>661</v>
      </c>
      <c r="H102" t="s">
        <v>695</v>
      </c>
      <c r="I102" t="s">
        <v>702</v>
      </c>
      <c r="J102" t="s">
        <v>707</v>
      </c>
      <c r="K102" t="s">
        <v>720</v>
      </c>
      <c r="L102" t="s">
        <v>728</v>
      </c>
      <c r="M102">
        <f t="shared" si="12"/>
        <v>0.60249457179996568</v>
      </c>
      <c r="N102" t="s">
        <v>1271</v>
      </c>
      <c r="O102" s="7">
        <v>1141.8</v>
      </c>
      <c r="P102" s="7">
        <v>2318.7399999999998</v>
      </c>
      <c r="Q102" s="12">
        <v>0.107</v>
      </c>
      <c r="R102">
        <v>32</v>
      </c>
      <c r="S102">
        <f t="shared" si="6"/>
        <v>66260.314239999992</v>
      </c>
      <c r="T102">
        <f t="shared" si="7"/>
        <v>36537.599999999999</v>
      </c>
      <c r="U102">
        <f t="shared" si="8"/>
        <v>29722.714239999994</v>
      </c>
      <c r="V102">
        <f t="shared" si="9"/>
        <v>0.44857490612468304</v>
      </c>
    </row>
    <row r="103" spans="1:22" x14ac:dyDescent="0.25">
      <c r="A103" t="s">
        <v>532</v>
      </c>
      <c r="B103" s="14">
        <v>45794</v>
      </c>
      <c r="C103" s="14">
        <v>45807</v>
      </c>
      <c r="D103" s="7">
        <f t="shared" si="10"/>
        <v>13</v>
      </c>
      <c r="E103" s="5" t="str">
        <f t="shared" si="11"/>
        <v>Q2</v>
      </c>
      <c r="F103" t="s">
        <v>646</v>
      </c>
      <c r="G103" t="s">
        <v>651</v>
      </c>
      <c r="H103" t="s">
        <v>665</v>
      </c>
      <c r="I103" t="s">
        <v>704</v>
      </c>
      <c r="J103" t="s">
        <v>709</v>
      </c>
      <c r="K103" t="s">
        <v>721</v>
      </c>
      <c r="L103" t="s">
        <v>733</v>
      </c>
      <c r="M103">
        <f t="shared" si="12"/>
        <v>9.1871886552253763E-3</v>
      </c>
      <c r="N103" t="s">
        <v>1250</v>
      </c>
      <c r="O103" s="7">
        <v>66.400000000000006</v>
      </c>
      <c r="P103" s="7">
        <v>141.43</v>
      </c>
      <c r="Q103" s="12">
        <v>0.107</v>
      </c>
      <c r="R103">
        <v>8</v>
      </c>
      <c r="S103">
        <f t="shared" si="6"/>
        <v>1010.3759200000001</v>
      </c>
      <c r="T103">
        <f t="shared" si="7"/>
        <v>531.20000000000005</v>
      </c>
      <c r="U103">
        <f t="shared" si="8"/>
        <v>479.17592000000002</v>
      </c>
      <c r="V103">
        <f t="shared" si="9"/>
        <v>0.47425508715607551</v>
      </c>
    </row>
    <row r="104" spans="1:22" x14ac:dyDescent="0.25">
      <c r="A104" t="s">
        <v>249</v>
      </c>
      <c r="B104" s="14">
        <v>44999</v>
      </c>
      <c r="C104" s="14">
        <v>45015</v>
      </c>
      <c r="D104" s="7">
        <f t="shared" si="10"/>
        <v>16</v>
      </c>
      <c r="E104" s="5" t="str">
        <f t="shared" si="11"/>
        <v>Q1</v>
      </c>
      <c r="F104" t="s">
        <v>646</v>
      </c>
      <c r="G104" t="s">
        <v>661</v>
      </c>
      <c r="H104" t="s">
        <v>695</v>
      </c>
      <c r="I104" t="s">
        <v>704</v>
      </c>
      <c r="J104" t="s">
        <v>710</v>
      </c>
      <c r="K104" t="s">
        <v>723</v>
      </c>
      <c r="L104" t="s">
        <v>727</v>
      </c>
      <c r="M104">
        <f t="shared" si="12"/>
        <v>0.12975347944723753</v>
      </c>
      <c r="N104" t="s">
        <v>968</v>
      </c>
      <c r="O104" s="7">
        <v>1309.77</v>
      </c>
      <c r="P104" s="7">
        <v>1589.07</v>
      </c>
      <c r="Q104" s="12">
        <v>0.10199999999999999</v>
      </c>
      <c r="R104">
        <v>10</v>
      </c>
      <c r="S104">
        <f t="shared" si="6"/>
        <v>14269.848599999999</v>
      </c>
      <c r="T104">
        <f t="shared" si="7"/>
        <v>13097.7</v>
      </c>
      <c r="U104">
        <f t="shared" si="8"/>
        <v>1172.1485999999986</v>
      </c>
      <c r="V104">
        <f t="shared" si="9"/>
        <v>8.2141628328137886E-2</v>
      </c>
    </row>
    <row r="105" spans="1:22" x14ac:dyDescent="0.25">
      <c r="A105" t="s">
        <v>321</v>
      </c>
      <c r="B105" s="14">
        <v>45741</v>
      </c>
      <c r="C105" s="14">
        <v>45742</v>
      </c>
      <c r="D105" s="7">
        <f t="shared" si="10"/>
        <v>1</v>
      </c>
      <c r="E105" s="5" t="str">
        <f t="shared" si="11"/>
        <v>Q1</v>
      </c>
      <c r="F105" t="s">
        <v>646</v>
      </c>
      <c r="G105" t="s">
        <v>651</v>
      </c>
      <c r="H105" t="s">
        <v>665</v>
      </c>
      <c r="I105" t="s">
        <v>702</v>
      </c>
      <c r="J105" t="s">
        <v>711</v>
      </c>
      <c r="K105" t="s">
        <v>715</v>
      </c>
      <c r="L105" t="s">
        <v>733</v>
      </c>
      <c r="M105">
        <f t="shared" si="12"/>
        <v>0.39176393599150455</v>
      </c>
      <c r="N105" t="s">
        <v>1040</v>
      </c>
      <c r="O105" s="7">
        <v>1450.43</v>
      </c>
      <c r="P105" s="7">
        <v>1994.67</v>
      </c>
      <c r="Q105" s="12">
        <v>0.1</v>
      </c>
      <c r="R105">
        <v>24</v>
      </c>
      <c r="S105">
        <f t="shared" si="6"/>
        <v>43084.872000000003</v>
      </c>
      <c r="T105">
        <f t="shared" si="7"/>
        <v>34810.32</v>
      </c>
      <c r="U105">
        <f t="shared" si="8"/>
        <v>8274.5520000000033</v>
      </c>
      <c r="V105">
        <f t="shared" si="9"/>
        <v>0.19205237513529116</v>
      </c>
    </row>
    <row r="106" spans="1:22" x14ac:dyDescent="0.25">
      <c r="A106" t="s">
        <v>108</v>
      </c>
      <c r="B106" s="14">
        <v>45569</v>
      </c>
      <c r="C106" s="14">
        <v>45598</v>
      </c>
      <c r="D106" s="7">
        <f t="shared" si="10"/>
        <v>29</v>
      </c>
      <c r="E106" s="5" t="str">
        <f t="shared" si="11"/>
        <v>Q4</v>
      </c>
      <c r="F106" t="s">
        <v>646</v>
      </c>
      <c r="G106" t="s">
        <v>651</v>
      </c>
      <c r="H106" t="s">
        <v>669</v>
      </c>
      <c r="I106" t="s">
        <v>701</v>
      </c>
      <c r="J106" t="s">
        <v>708</v>
      </c>
      <c r="K106" t="s">
        <v>721</v>
      </c>
      <c r="L106" t="s">
        <v>733</v>
      </c>
      <c r="M106">
        <f t="shared" si="12"/>
        <v>0.18257830007472475</v>
      </c>
      <c r="N106" t="s">
        <v>827</v>
      </c>
      <c r="O106" s="7">
        <v>412.09</v>
      </c>
      <c r="P106" s="7">
        <v>968.94</v>
      </c>
      <c r="Q106" s="12">
        <v>9.9000000000000005E-2</v>
      </c>
      <c r="R106">
        <v>23</v>
      </c>
      <c r="S106">
        <f t="shared" si="6"/>
        <v>20079.343620000003</v>
      </c>
      <c r="T106">
        <f t="shared" si="7"/>
        <v>9478.07</v>
      </c>
      <c r="U106">
        <f t="shared" si="8"/>
        <v>10601.273620000004</v>
      </c>
      <c r="V106">
        <f t="shared" si="9"/>
        <v>0.52796913189137418</v>
      </c>
    </row>
    <row r="107" spans="1:22" x14ac:dyDescent="0.25">
      <c r="A107" t="s">
        <v>602</v>
      </c>
      <c r="B107" s="14">
        <v>45364</v>
      </c>
      <c r="C107" s="14">
        <v>45388</v>
      </c>
      <c r="D107" s="7">
        <f t="shared" si="10"/>
        <v>24</v>
      </c>
      <c r="E107" s="5" t="str">
        <f t="shared" si="11"/>
        <v>Q1</v>
      </c>
      <c r="F107" t="s">
        <v>646</v>
      </c>
      <c r="G107" t="s">
        <v>651</v>
      </c>
      <c r="H107" t="s">
        <v>669</v>
      </c>
      <c r="I107" t="s">
        <v>704</v>
      </c>
      <c r="J107" t="s">
        <v>708</v>
      </c>
      <c r="K107" t="s">
        <v>716</v>
      </c>
      <c r="L107" t="s">
        <v>727</v>
      </c>
      <c r="M107">
        <f t="shared" si="12"/>
        <v>0.22851363213000875</v>
      </c>
      <c r="N107" t="s">
        <v>1319</v>
      </c>
      <c r="O107" s="7">
        <v>1232.78</v>
      </c>
      <c r="P107" s="7">
        <v>1731.75</v>
      </c>
      <c r="Q107" s="12">
        <v>9.2999999999999999E-2</v>
      </c>
      <c r="R107">
        <v>16</v>
      </c>
      <c r="S107">
        <f t="shared" si="6"/>
        <v>25131.155999999999</v>
      </c>
      <c r="T107">
        <f t="shared" si="7"/>
        <v>19724.48</v>
      </c>
      <c r="U107">
        <f t="shared" si="8"/>
        <v>5406.6759999999995</v>
      </c>
      <c r="V107">
        <f t="shared" si="9"/>
        <v>0.21513837246484005</v>
      </c>
    </row>
    <row r="108" spans="1:22" x14ac:dyDescent="0.25">
      <c r="A108" t="s">
        <v>275</v>
      </c>
      <c r="B108" s="14">
        <v>45066</v>
      </c>
      <c r="C108" s="14">
        <v>45084</v>
      </c>
      <c r="D108" s="7">
        <f t="shared" si="10"/>
        <v>18</v>
      </c>
      <c r="E108" s="5" t="str">
        <f t="shared" si="11"/>
        <v>Q2</v>
      </c>
      <c r="F108" t="s">
        <v>646</v>
      </c>
      <c r="G108" t="s">
        <v>651</v>
      </c>
      <c r="H108" t="s">
        <v>663</v>
      </c>
      <c r="I108" t="s">
        <v>706</v>
      </c>
      <c r="J108" t="s">
        <v>709</v>
      </c>
      <c r="K108" t="s">
        <v>718</v>
      </c>
      <c r="L108" t="s">
        <v>727</v>
      </c>
      <c r="M108">
        <f t="shared" si="12"/>
        <v>0.20806855353755099</v>
      </c>
      <c r="N108" t="s">
        <v>994</v>
      </c>
      <c r="O108" s="7">
        <v>1120.06</v>
      </c>
      <c r="P108" s="7">
        <v>2068.21</v>
      </c>
      <c r="Q108" s="12">
        <v>7.8E-2</v>
      </c>
      <c r="R108">
        <v>12</v>
      </c>
      <c r="S108">
        <f t="shared" si="6"/>
        <v>22882.675440000003</v>
      </c>
      <c r="T108">
        <f t="shared" si="7"/>
        <v>13440.72</v>
      </c>
      <c r="U108">
        <f t="shared" si="8"/>
        <v>9441.9554400000034</v>
      </c>
      <c r="V108">
        <f t="shared" si="9"/>
        <v>0.41262462795303284</v>
      </c>
    </row>
    <row r="109" spans="1:22" x14ac:dyDescent="0.25">
      <c r="A109" t="s">
        <v>188</v>
      </c>
      <c r="B109" s="14">
        <v>45798</v>
      </c>
      <c r="C109" s="15">
        <v>45796</v>
      </c>
      <c r="D109" s="7">
        <f t="shared" si="10"/>
        <v>-2</v>
      </c>
      <c r="E109" s="5" t="str">
        <f t="shared" si="11"/>
        <v>Q2</v>
      </c>
      <c r="F109" t="s">
        <v>646</v>
      </c>
      <c r="G109" t="s">
        <v>661</v>
      </c>
      <c r="H109" t="s">
        <v>682</v>
      </c>
      <c r="I109" t="s">
        <v>703</v>
      </c>
      <c r="J109" t="s">
        <v>708</v>
      </c>
      <c r="K109" t="s">
        <v>719</v>
      </c>
      <c r="L109" t="s">
        <v>731</v>
      </c>
      <c r="M109">
        <f t="shared" si="12"/>
        <v>0.28693542965759089</v>
      </c>
      <c r="N109" t="s">
        <v>907</v>
      </c>
      <c r="O109" s="7">
        <v>1263.8399999999999</v>
      </c>
      <c r="P109" s="7">
        <v>2281.7199999999998</v>
      </c>
      <c r="Q109" s="12">
        <v>7.8E-2</v>
      </c>
      <c r="R109">
        <v>15</v>
      </c>
      <c r="S109">
        <f t="shared" si="6"/>
        <v>31556.187599999997</v>
      </c>
      <c r="T109">
        <f t="shared" si="7"/>
        <v>18957.599999999999</v>
      </c>
      <c r="U109">
        <f t="shared" si="8"/>
        <v>12598.587599999999</v>
      </c>
      <c r="V109">
        <f t="shared" si="9"/>
        <v>0.39924301882398494</v>
      </c>
    </row>
    <row r="110" spans="1:22" x14ac:dyDescent="0.25">
      <c r="A110" t="s">
        <v>543</v>
      </c>
      <c r="B110" s="14">
        <v>45448</v>
      </c>
      <c r="C110" s="14">
        <v>45466</v>
      </c>
      <c r="D110" s="7">
        <f t="shared" si="10"/>
        <v>18</v>
      </c>
      <c r="E110" s="5" t="str">
        <f t="shared" si="11"/>
        <v>Q2</v>
      </c>
      <c r="F110" t="s">
        <v>646</v>
      </c>
      <c r="G110" t="s">
        <v>650</v>
      </c>
      <c r="H110" t="s">
        <v>664</v>
      </c>
      <c r="I110" t="s">
        <v>704</v>
      </c>
      <c r="J110" t="s">
        <v>710</v>
      </c>
      <c r="K110" t="s">
        <v>726</v>
      </c>
      <c r="L110" t="s">
        <v>731</v>
      </c>
      <c r="M110">
        <f t="shared" si="12"/>
        <v>0.53217523217563856</v>
      </c>
      <c r="N110" t="s">
        <v>1261</v>
      </c>
      <c r="O110" s="7">
        <v>1208.74</v>
      </c>
      <c r="P110" s="7">
        <v>1594.78</v>
      </c>
      <c r="Q110" s="12">
        <v>5.8999999999999997E-2</v>
      </c>
      <c r="R110">
        <v>39</v>
      </c>
      <c r="S110">
        <f t="shared" si="6"/>
        <v>58526.83122</v>
      </c>
      <c r="T110">
        <f t="shared" si="7"/>
        <v>47140.86</v>
      </c>
      <c r="U110">
        <f t="shared" si="8"/>
        <v>11385.971219999999</v>
      </c>
      <c r="V110">
        <f t="shared" si="9"/>
        <v>0.1945427589817838</v>
      </c>
    </row>
    <row r="111" spans="1:22" x14ac:dyDescent="0.25">
      <c r="A111" t="s">
        <v>278</v>
      </c>
      <c r="B111" s="14">
        <v>45829</v>
      </c>
      <c r="C111" s="14">
        <v>45835</v>
      </c>
      <c r="D111" s="7">
        <f t="shared" si="10"/>
        <v>6</v>
      </c>
      <c r="E111" s="5" t="str">
        <f t="shared" si="11"/>
        <v>Q2</v>
      </c>
      <c r="F111" t="s">
        <v>646</v>
      </c>
      <c r="G111" t="s">
        <v>661</v>
      </c>
      <c r="H111" t="s">
        <v>687</v>
      </c>
      <c r="I111" t="s">
        <v>706</v>
      </c>
      <c r="J111" t="s">
        <v>707</v>
      </c>
      <c r="K111" t="s">
        <v>725</v>
      </c>
      <c r="L111" t="s">
        <v>730</v>
      </c>
      <c r="M111">
        <f t="shared" si="12"/>
        <v>5.0953406255482645E-3</v>
      </c>
      <c r="N111" t="s">
        <v>997</v>
      </c>
      <c r="O111" s="7">
        <v>93.91</v>
      </c>
      <c r="P111" s="7">
        <v>99.04</v>
      </c>
      <c r="Q111" s="12">
        <v>5.7000000000000002E-2</v>
      </c>
      <c r="R111">
        <v>6</v>
      </c>
      <c r="S111">
        <f t="shared" si="6"/>
        <v>560.36831999999993</v>
      </c>
      <c r="T111">
        <f t="shared" si="7"/>
        <v>563.46</v>
      </c>
      <c r="U111">
        <f t="shared" si="8"/>
        <v>-3.0916800000001103</v>
      </c>
      <c r="V111">
        <f t="shared" si="9"/>
        <v>-5.5172283829323376E-3</v>
      </c>
    </row>
    <row r="112" spans="1:22" x14ac:dyDescent="0.25">
      <c r="A112" t="s">
        <v>238</v>
      </c>
      <c r="B112" s="14">
        <v>45854</v>
      </c>
      <c r="C112" s="14">
        <v>45855</v>
      </c>
      <c r="D112" s="7">
        <f t="shared" si="10"/>
        <v>1</v>
      </c>
      <c r="E112" s="5" t="str">
        <f t="shared" si="11"/>
        <v>Q3</v>
      </c>
      <c r="F112" t="s">
        <v>646</v>
      </c>
      <c r="G112" t="s">
        <v>661</v>
      </c>
      <c r="H112" t="s">
        <v>687</v>
      </c>
      <c r="I112" t="s">
        <v>705</v>
      </c>
      <c r="J112" t="s">
        <v>711</v>
      </c>
      <c r="K112" t="s">
        <v>717</v>
      </c>
      <c r="L112" t="s">
        <v>729</v>
      </c>
      <c r="M112">
        <f t="shared" si="12"/>
        <v>0.60911831588002252</v>
      </c>
      <c r="N112" t="s">
        <v>957</v>
      </c>
      <c r="O112" s="7">
        <v>1198.9000000000001</v>
      </c>
      <c r="P112" s="7">
        <v>2941.2</v>
      </c>
      <c r="Q112" s="12">
        <v>5.0999999999999997E-2</v>
      </c>
      <c r="R112">
        <v>24</v>
      </c>
      <c r="S112">
        <f t="shared" si="6"/>
        <v>66988.771199999988</v>
      </c>
      <c r="T112">
        <f t="shared" si="7"/>
        <v>28773.600000000002</v>
      </c>
      <c r="U112">
        <f t="shared" si="8"/>
        <v>38215.171199999982</v>
      </c>
      <c r="V112">
        <f t="shared" si="9"/>
        <v>0.57047129713583977</v>
      </c>
    </row>
    <row r="113" spans="1:22" x14ac:dyDescent="0.25">
      <c r="A113" t="s">
        <v>485</v>
      </c>
      <c r="B113" s="14">
        <v>45060</v>
      </c>
      <c r="C113" s="14">
        <v>45068</v>
      </c>
      <c r="D113" s="7">
        <f t="shared" si="10"/>
        <v>8</v>
      </c>
      <c r="E113" s="5" t="str">
        <f t="shared" si="11"/>
        <v>Q2</v>
      </c>
      <c r="F113" t="s">
        <v>646</v>
      </c>
      <c r="G113" t="s">
        <v>650</v>
      </c>
      <c r="H113" t="s">
        <v>675</v>
      </c>
      <c r="I113" t="s">
        <v>705</v>
      </c>
      <c r="J113" t="s">
        <v>711</v>
      </c>
      <c r="K113" t="s">
        <v>721</v>
      </c>
      <c r="L113" t="s">
        <v>728</v>
      </c>
      <c r="M113">
        <f t="shared" si="12"/>
        <v>9.4820678499376254E-2</v>
      </c>
      <c r="N113" t="s">
        <v>1203</v>
      </c>
      <c r="O113" s="7">
        <v>432.01</v>
      </c>
      <c r="P113" s="7">
        <v>913.78</v>
      </c>
      <c r="Q113" s="12">
        <v>4.9000000000000002E-2</v>
      </c>
      <c r="R113">
        <v>12</v>
      </c>
      <c r="S113">
        <f t="shared" si="6"/>
        <v>10428.057360000001</v>
      </c>
      <c r="T113">
        <f t="shared" si="7"/>
        <v>5184.12</v>
      </c>
      <c r="U113">
        <f t="shared" si="8"/>
        <v>5243.9373600000008</v>
      </c>
      <c r="V113">
        <f t="shared" si="9"/>
        <v>0.50286809699711899</v>
      </c>
    </row>
    <row r="114" spans="1:22" x14ac:dyDescent="0.25">
      <c r="A114" t="s">
        <v>166</v>
      </c>
      <c r="B114" s="14">
        <v>45110</v>
      </c>
      <c r="C114" s="14">
        <v>45130</v>
      </c>
      <c r="D114" s="7">
        <f t="shared" si="10"/>
        <v>20</v>
      </c>
      <c r="E114" s="5" t="str">
        <f t="shared" si="11"/>
        <v>Q3</v>
      </c>
      <c r="F114" t="s">
        <v>646</v>
      </c>
      <c r="G114" t="s">
        <v>661</v>
      </c>
      <c r="H114" t="s">
        <v>682</v>
      </c>
      <c r="I114" t="s">
        <v>705</v>
      </c>
      <c r="J114" t="s">
        <v>710</v>
      </c>
      <c r="K114" t="s">
        <v>721</v>
      </c>
      <c r="L114" t="s">
        <v>731</v>
      </c>
      <c r="M114">
        <f t="shared" si="12"/>
        <v>0.1961561581014547</v>
      </c>
      <c r="N114" t="s">
        <v>885</v>
      </c>
      <c r="O114" s="7">
        <v>1001.96</v>
      </c>
      <c r="P114" s="7">
        <v>1254.95</v>
      </c>
      <c r="Q114" s="12">
        <v>4.4999999999999998E-2</v>
      </c>
      <c r="R114">
        <v>18</v>
      </c>
      <c r="S114">
        <f t="shared" si="6"/>
        <v>21572.590500000002</v>
      </c>
      <c r="T114">
        <f t="shared" si="7"/>
        <v>18035.28</v>
      </c>
      <c r="U114">
        <f t="shared" si="8"/>
        <v>3537.3105000000032</v>
      </c>
      <c r="V114">
        <f t="shared" si="9"/>
        <v>0.16397244920585699</v>
      </c>
    </row>
    <row r="115" spans="1:22" x14ac:dyDescent="0.25">
      <c r="A115" t="s">
        <v>329</v>
      </c>
      <c r="B115" s="14">
        <v>45451</v>
      </c>
      <c r="C115" s="14">
        <v>45467</v>
      </c>
      <c r="D115" s="7">
        <f t="shared" si="10"/>
        <v>16</v>
      </c>
      <c r="E115" s="5" t="str">
        <f t="shared" si="11"/>
        <v>Q2</v>
      </c>
      <c r="F115" t="s">
        <v>646</v>
      </c>
      <c r="G115" t="s">
        <v>661</v>
      </c>
      <c r="H115" t="s">
        <v>687</v>
      </c>
      <c r="I115" t="s">
        <v>702</v>
      </c>
      <c r="J115" t="s">
        <v>710</v>
      </c>
      <c r="K115" t="s">
        <v>722</v>
      </c>
      <c r="L115" t="s">
        <v>732</v>
      </c>
      <c r="M115">
        <f t="shared" si="12"/>
        <v>4.5759212615692851E-2</v>
      </c>
      <c r="N115" t="s">
        <v>1048</v>
      </c>
      <c r="O115" s="7">
        <v>597.85</v>
      </c>
      <c r="P115" s="7">
        <v>741.92</v>
      </c>
      <c r="Q115" s="12">
        <v>3.1E-2</v>
      </c>
      <c r="R115">
        <v>7</v>
      </c>
      <c r="S115">
        <f t="shared" si="6"/>
        <v>5032.4433599999993</v>
      </c>
      <c r="T115">
        <f t="shared" si="7"/>
        <v>4184.95</v>
      </c>
      <c r="U115">
        <f t="shared" si="8"/>
        <v>847.49335999999948</v>
      </c>
      <c r="V115">
        <f t="shared" si="9"/>
        <v>0.16840594108544515</v>
      </c>
    </row>
    <row r="116" spans="1:22" x14ac:dyDescent="0.25">
      <c r="A116" t="s">
        <v>189</v>
      </c>
      <c r="B116" s="14">
        <v>45435</v>
      </c>
      <c r="C116" s="14">
        <v>45446</v>
      </c>
      <c r="D116" s="7">
        <f t="shared" si="10"/>
        <v>11</v>
      </c>
      <c r="E116" s="5" t="str">
        <f t="shared" si="11"/>
        <v>Q2</v>
      </c>
      <c r="F116" t="s">
        <v>646</v>
      </c>
      <c r="G116" t="s">
        <v>661</v>
      </c>
      <c r="H116" t="s">
        <v>682</v>
      </c>
      <c r="I116" t="s">
        <v>705</v>
      </c>
      <c r="J116" t="s">
        <v>711</v>
      </c>
      <c r="K116" t="s">
        <v>721</v>
      </c>
      <c r="L116" t="s">
        <v>728</v>
      </c>
      <c r="M116">
        <f t="shared" si="12"/>
        <v>1.775500782627944E-2</v>
      </c>
      <c r="N116" t="s">
        <v>908</v>
      </c>
      <c r="O116" s="7">
        <v>180.89</v>
      </c>
      <c r="P116" s="7">
        <v>249.57</v>
      </c>
      <c r="Q116" s="12">
        <v>2.1999999999999999E-2</v>
      </c>
      <c r="R116">
        <v>8</v>
      </c>
      <c r="S116">
        <f t="shared" si="6"/>
        <v>1952.6356799999999</v>
      </c>
      <c r="T116">
        <f t="shared" si="7"/>
        <v>1447.12</v>
      </c>
      <c r="U116">
        <f t="shared" si="8"/>
        <v>505.51567999999997</v>
      </c>
      <c r="V116">
        <f t="shared" si="9"/>
        <v>0.25888888806948362</v>
      </c>
    </row>
    <row r="117" spans="1:22" x14ac:dyDescent="0.25">
      <c r="A117" t="s">
        <v>357</v>
      </c>
      <c r="B117" s="14">
        <v>45594</v>
      </c>
      <c r="C117" s="14">
        <v>45600</v>
      </c>
      <c r="D117" s="7">
        <f t="shared" si="10"/>
        <v>6</v>
      </c>
      <c r="E117" s="5" t="str">
        <f t="shared" si="11"/>
        <v>Q4</v>
      </c>
      <c r="F117" t="s">
        <v>646</v>
      </c>
      <c r="G117" t="s">
        <v>650</v>
      </c>
      <c r="H117" t="s">
        <v>664</v>
      </c>
      <c r="I117" t="s">
        <v>701</v>
      </c>
      <c r="J117" t="s">
        <v>707</v>
      </c>
      <c r="K117" t="s">
        <v>724</v>
      </c>
      <c r="L117" t="s">
        <v>728</v>
      </c>
      <c r="M117">
        <f t="shared" si="12"/>
        <v>0.18234276254945067</v>
      </c>
      <c r="N117" t="s">
        <v>1076</v>
      </c>
      <c r="O117" s="7">
        <v>805.81</v>
      </c>
      <c r="P117" s="7">
        <v>1823.04</v>
      </c>
      <c r="Q117" s="12">
        <v>0</v>
      </c>
      <c r="R117">
        <v>11</v>
      </c>
      <c r="S117">
        <f t="shared" si="6"/>
        <v>20053.439999999999</v>
      </c>
      <c r="T117">
        <f t="shared" si="7"/>
        <v>8863.91</v>
      </c>
      <c r="U117">
        <f t="shared" si="8"/>
        <v>11189.529999999999</v>
      </c>
      <c r="V117">
        <f t="shared" si="9"/>
        <v>0.55798556257679477</v>
      </c>
    </row>
    <row r="118" spans="1:22" x14ac:dyDescent="0.25">
      <c r="A118" t="s">
        <v>505</v>
      </c>
      <c r="B118" s="14">
        <v>45403</v>
      </c>
      <c r="C118" s="14">
        <v>45431</v>
      </c>
      <c r="D118" s="7">
        <f t="shared" si="10"/>
        <v>28</v>
      </c>
      <c r="E118" s="5" t="str">
        <f t="shared" si="11"/>
        <v>Q2</v>
      </c>
      <c r="F118" t="s">
        <v>646</v>
      </c>
      <c r="G118" t="s">
        <v>651</v>
      </c>
      <c r="H118" t="s">
        <v>665</v>
      </c>
      <c r="I118" t="s">
        <v>701</v>
      </c>
      <c r="J118" t="s">
        <v>707</v>
      </c>
      <c r="K118" t="s">
        <v>720</v>
      </c>
      <c r="L118" t="s">
        <v>733</v>
      </c>
      <c r="M118">
        <f t="shared" si="12"/>
        <v>1.4069809151491839E-2</v>
      </c>
      <c r="N118" t="s">
        <v>1223</v>
      </c>
      <c r="O118" s="7">
        <v>187.22</v>
      </c>
      <c r="P118" s="7">
        <v>309.47000000000003</v>
      </c>
      <c r="Q118" s="12">
        <v>0</v>
      </c>
      <c r="R118">
        <v>5</v>
      </c>
      <c r="S118">
        <f t="shared" si="6"/>
        <v>1547.3500000000001</v>
      </c>
      <c r="T118">
        <f t="shared" si="7"/>
        <v>936.1</v>
      </c>
      <c r="U118">
        <f t="shared" si="8"/>
        <v>611.25000000000011</v>
      </c>
      <c r="V118">
        <f t="shared" si="9"/>
        <v>0.39503021294471197</v>
      </c>
    </row>
    <row r="119" spans="1:22" x14ac:dyDescent="0.25">
      <c r="A119" t="s">
        <v>57</v>
      </c>
      <c r="B119" s="14">
        <v>45590</v>
      </c>
      <c r="C119" s="14">
        <v>45610</v>
      </c>
      <c r="D119" s="7">
        <f t="shared" si="10"/>
        <v>20</v>
      </c>
      <c r="E119" s="5" t="str">
        <f t="shared" si="11"/>
        <v>Q4</v>
      </c>
      <c r="F119" t="s">
        <v>646</v>
      </c>
      <c r="G119" t="s">
        <v>650</v>
      </c>
      <c r="H119" t="s">
        <v>675</v>
      </c>
      <c r="I119" t="s">
        <v>701</v>
      </c>
      <c r="J119" t="s">
        <v>708</v>
      </c>
      <c r="K119" t="s">
        <v>722</v>
      </c>
      <c r="L119" t="s">
        <v>728</v>
      </c>
      <c r="M119">
        <f t="shared" si="12"/>
        <v>0.27820974201765863</v>
      </c>
      <c r="N119" t="s">
        <v>776</v>
      </c>
      <c r="O119" s="7">
        <v>1396.48</v>
      </c>
      <c r="P119" s="7">
        <v>3204.5</v>
      </c>
      <c r="Q119" s="12">
        <v>0.318</v>
      </c>
      <c r="R119">
        <v>14</v>
      </c>
      <c r="S119">
        <f t="shared" si="6"/>
        <v>30596.565999999999</v>
      </c>
      <c r="T119">
        <f t="shared" si="7"/>
        <v>19550.72</v>
      </c>
      <c r="U119">
        <f t="shared" si="8"/>
        <v>11045.845999999998</v>
      </c>
      <c r="V119">
        <f t="shared" si="9"/>
        <v>0.36101587348070363</v>
      </c>
    </row>
    <row r="120" spans="1:22" x14ac:dyDescent="0.25">
      <c r="A120" t="s">
        <v>481</v>
      </c>
      <c r="B120" s="14">
        <v>45466</v>
      </c>
      <c r="C120" s="14">
        <v>45471</v>
      </c>
      <c r="D120" s="7">
        <f t="shared" si="10"/>
        <v>5</v>
      </c>
      <c r="E120" s="5" t="str">
        <f t="shared" si="11"/>
        <v>Q2</v>
      </c>
      <c r="F120" t="s">
        <v>646</v>
      </c>
      <c r="G120" t="s">
        <v>651</v>
      </c>
      <c r="H120" t="s">
        <v>663</v>
      </c>
      <c r="I120" t="s">
        <v>703</v>
      </c>
      <c r="J120" t="s">
        <v>710</v>
      </c>
      <c r="K120" t="s">
        <v>724</v>
      </c>
      <c r="L120" t="s">
        <v>733</v>
      </c>
      <c r="M120">
        <f t="shared" si="12"/>
        <v>2.4731227381268879E-2</v>
      </c>
      <c r="N120" t="s">
        <v>1199</v>
      </c>
      <c r="O120" s="7">
        <v>242.31</v>
      </c>
      <c r="P120" s="7">
        <v>587.95000000000005</v>
      </c>
      <c r="Q120" s="12">
        <v>0.22900000000000001</v>
      </c>
      <c r="R120">
        <v>6</v>
      </c>
      <c r="S120">
        <f t="shared" si="6"/>
        <v>2719.8567000000003</v>
      </c>
      <c r="T120">
        <f t="shared" si="7"/>
        <v>1453.8600000000001</v>
      </c>
      <c r="U120">
        <f t="shared" si="8"/>
        <v>1265.9967000000001</v>
      </c>
      <c r="V120">
        <f t="shared" si="9"/>
        <v>0.46546448568411714</v>
      </c>
    </row>
    <row r="121" spans="1:22" x14ac:dyDescent="0.25">
      <c r="A121" t="s">
        <v>137</v>
      </c>
      <c r="B121" s="14">
        <v>45289</v>
      </c>
      <c r="C121" s="14">
        <v>45311</v>
      </c>
      <c r="D121" s="7">
        <f t="shared" si="10"/>
        <v>22</v>
      </c>
      <c r="E121" s="5" t="str">
        <f t="shared" si="11"/>
        <v>Q4</v>
      </c>
      <c r="F121" t="s">
        <v>646</v>
      </c>
      <c r="G121" t="s">
        <v>650</v>
      </c>
      <c r="H121" t="s">
        <v>662</v>
      </c>
      <c r="I121" t="s">
        <v>701</v>
      </c>
      <c r="J121" t="s">
        <v>711</v>
      </c>
      <c r="K121" t="s">
        <v>716</v>
      </c>
      <c r="L121" t="s">
        <v>730</v>
      </c>
      <c r="M121">
        <f t="shared" si="12"/>
        <v>0.14604898246552991</v>
      </c>
      <c r="N121" t="s">
        <v>856</v>
      </c>
      <c r="O121" s="7">
        <v>1395.49</v>
      </c>
      <c r="P121" s="7">
        <v>1679.42</v>
      </c>
      <c r="Q121" s="12">
        <v>0.20300000000000001</v>
      </c>
      <c r="R121">
        <v>12</v>
      </c>
      <c r="S121">
        <f t="shared" si="6"/>
        <v>16061.972879999999</v>
      </c>
      <c r="T121">
        <f t="shared" si="7"/>
        <v>16745.88</v>
      </c>
      <c r="U121">
        <f t="shared" si="8"/>
        <v>-683.90712000000167</v>
      </c>
      <c r="V121">
        <f t="shared" si="9"/>
        <v>-4.2579272490964493E-2</v>
      </c>
    </row>
    <row r="122" spans="1:22" x14ac:dyDescent="0.25">
      <c r="A122" t="s">
        <v>635</v>
      </c>
      <c r="B122" s="14">
        <v>45177</v>
      </c>
      <c r="C122" s="14">
        <v>45183</v>
      </c>
      <c r="D122" s="7">
        <f t="shared" si="10"/>
        <v>6</v>
      </c>
      <c r="E122" s="5" t="str">
        <f t="shared" si="11"/>
        <v>Q3</v>
      </c>
      <c r="F122" t="s">
        <v>646</v>
      </c>
      <c r="G122" t="s">
        <v>650</v>
      </c>
      <c r="H122" t="s">
        <v>678</v>
      </c>
      <c r="I122" t="s">
        <v>702</v>
      </c>
      <c r="J122" t="s">
        <v>708</v>
      </c>
      <c r="K122" t="s">
        <v>714</v>
      </c>
      <c r="L122" t="s">
        <v>733</v>
      </c>
      <c r="M122">
        <f t="shared" si="12"/>
        <v>9.3725142336820583E-3</v>
      </c>
      <c r="N122" t="s">
        <v>1352</v>
      </c>
      <c r="O122" s="7">
        <v>251.03</v>
      </c>
      <c r="P122" s="7">
        <v>411.48</v>
      </c>
      <c r="Q122" s="12">
        <v>0.16500000000000001</v>
      </c>
      <c r="R122">
        <v>3</v>
      </c>
      <c r="S122">
        <f t="shared" si="6"/>
        <v>1030.7574</v>
      </c>
      <c r="T122">
        <f t="shared" si="7"/>
        <v>753.09</v>
      </c>
      <c r="U122">
        <f t="shared" si="8"/>
        <v>277.66739999999993</v>
      </c>
      <c r="V122">
        <f t="shared" si="9"/>
        <v>0.26938191275658069</v>
      </c>
    </row>
    <row r="123" spans="1:22" x14ac:dyDescent="0.25">
      <c r="A123" t="s">
        <v>95</v>
      </c>
      <c r="B123" s="14">
        <v>44965</v>
      </c>
      <c r="C123" s="14">
        <v>44968</v>
      </c>
      <c r="D123" s="7">
        <f t="shared" si="10"/>
        <v>3</v>
      </c>
      <c r="E123" s="5" t="str">
        <f t="shared" si="11"/>
        <v>Q1</v>
      </c>
      <c r="F123" t="s">
        <v>646</v>
      </c>
      <c r="G123" t="s">
        <v>661</v>
      </c>
      <c r="H123" t="s">
        <v>695</v>
      </c>
      <c r="I123" t="s">
        <v>701</v>
      </c>
      <c r="J123" t="s">
        <v>711</v>
      </c>
      <c r="K123" t="s">
        <v>724</v>
      </c>
      <c r="L123" t="s">
        <v>729</v>
      </c>
      <c r="M123">
        <f t="shared" si="12"/>
        <v>0.54823295555566331</v>
      </c>
      <c r="N123" t="s">
        <v>814</v>
      </c>
      <c r="O123" s="7">
        <v>1410.05</v>
      </c>
      <c r="P123" s="7">
        <v>2763.95</v>
      </c>
      <c r="Q123" s="12">
        <v>0.161</v>
      </c>
      <c r="R123">
        <v>26</v>
      </c>
      <c r="S123">
        <f t="shared" si="6"/>
        <v>60292.805299999993</v>
      </c>
      <c r="T123">
        <f t="shared" si="7"/>
        <v>36661.299999999996</v>
      </c>
      <c r="U123">
        <f t="shared" si="8"/>
        <v>23631.505299999997</v>
      </c>
      <c r="V123">
        <f t="shared" si="9"/>
        <v>0.39194569206750779</v>
      </c>
    </row>
    <row r="124" spans="1:22" x14ac:dyDescent="0.25">
      <c r="A124" t="s">
        <v>109</v>
      </c>
      <c r="B124" s="14">
        <v>45910</v>
      </c>
      <c r="C124" s="14">
        <v>45930</v>
      </c>
      <c r="D124" s="7">
        <f t="shared" si="10"/>
        <v>20</v>
      </c>
      <c r="E124" s="5" t="str">
        <f t="shared" si="11"/>
        <v>Q3</v>
      </c>
      <c r="F124" t="s">
        <v>646</v>
      </c>
      <c r="G124" t="s">
        <v>650</v>
      </c>
      <c r="H124" t="s">
        <v>675</v>
      </c>
      <c r="I124" t="s">
        <v>701</v>
      </c>
      <c r="J124" t="s">
        <v>707</v>
      </c>
      <c r="K124" t="s">
        <v>716</v>
      </c>
      <c r="L124" t="s">
        <v>730</v>
      </c>
      <c r="M124">
        <f t="shared" si="12"/>
        <v>4.9897901875638077E-2</v>
      </c>
      <c r="N124" t="s">
        <v>828</v>
      </c>
      <c r="O124" s="7">
        <v>1009.48</v>
      </c>
      <c r="P124" s="7">
        <v>1088.81</v>
      </c>
      <c r="Q124" s="12">
        <v>0.16</v>
      </c>
      <c r="R124">
        <v>6</v>
      </c>
      <c r="S124">
        <f t="shared" si="6"/>
        <v>5487.6023999999998</v>
      </c>
      <c r="T124">
        <f t="shared" si="7"/>
        <v>6056.88</v>
      </c>
      <c r="U124">
        <f t="shared" si="8"/>
        <v>-569.27760000000035</v>
      </c>
      <c r="V124">
        <f t="shared" si="9"/>
        <v>-0.10373885688219693</v>
      </c>
    </row>
    <row r="125" spans="1:22" x14ac:dyDescent="0.25">
      <c r="A125" t="s">
        <v>146</v>
      </c>
      <c r="B125" s="14">
        <v>45719</v>
      </c>
      <c r="C125" s="14">
        <v>45740</v>
      </c>
      <c r="D125" s="7">
        <f t="shared" si="10"/>
        <v>21</v>
      </c>
      <c r="E125" s="5" t="str">
        <f t="shared" si="11"/>
        <v>Q1</v>
      </c>
      <c r="F125" t="s">
        <v>646</v>
      </c>
      <c r="G125" t="s">
        <v>651</v>
      </c>
      <c r="H125" t="s">
        <v>669</v>
      </c>
      <c r="I125" t="s">
        <v>706</v>
      </c>
      <c r="J125" t="s">
        <v>709</v>
      </c>
      <c r="K125" t="s">
        <v>722</v>
      </c>
      <c r="L125" t="s">
        <v>733</v>
      </c>
      <c r="M125">
        <f t="shared" si="12"/>
        <v>4.0170661506758326E-2</v>
      </c>
      <c r="N125" t="s">
        <v>865</v>
      </c>
      <c r="O125" s="7">
        <v>555.95000000000005</v>
      </c>
      <c r="P125" s="7">
        <v>468.09</v>
      </c>
      <c r="Q125" s="12">
        <v>0.14199999999999999</v>
      </c>
      <c r="R125">
        <v>11</v>
      </c>
      <c r="S125">
        <f t="shared" si="6"/>
        <v>4417.8334199999999</v>
      </c>
      <c r="T125">
        <f t="shared" si="7"/>
        <v>6115.4500000000007</v>
      </c>
      <c r="U125">
        <f t="shared" si="8"/>
        <v>-1697.6165800000008</v>
      </c>
      <c r="V125">
        <f t="shared" si="9"/>
        <v>-0.38426450674095375</v>
      </c>
    </row>
    <row r="126" spans="1:22" x14ac:dyDescent="0.25">
      <c r="A126" t="s">
        <v>168</v>
      </c>
      <c r="B126" s="14">
        <v>45340</v>
      </c>
      <c r="C126" s="14">
        <v>45355</v>
      </c>
      <c r="D126" s="7">
        <f t="shared" si="10"/>
        <v>15</v>
      </c>
      <c r="E126" s="5" t="str">
        <f t="shared" si="11"/>
        <v>Q1</v>
      </c>
      <c r="F126" t="s">
        <v>646</v>
      </c>
      <c r="G126" t="s">
        <v>650</v>
      </c>
      <c r="H126" t="s">
        <v>662</v>
      </c>
      <c r="I126" t="s">
        <v>702</v>
      </c>
      <c r="J126" t="s">
        <v>707</v>
      </c>
      <c r="K126" t="s">
        <v>723</v>
      </c>
      <c r="L126" t="s">
        <v>728</v>
      </c>
      <c r="M126">
        <f t="shared" si="12"/>
        <v>0.26964668604098585</v>
      </c>
      <c r="N126" t="s">
        <v>887</v>
      </c>
      <c r="O126" s="7">
        <v>928.68</v>
      </c>
      <c r="P126" s="7">
        <v>2145.17</v>
      </c>
      <c r="Q126" s="12">
        <v>0.13600000000000001</v>
      </c>
      <c r="R126">
        <v>16</v>
      </c>
      <c r="S126">
        <f t="shared" si="6"/>
        <v>29654.83008</v>
      </c>
      <c r="T126">
        <f t="shared" si="7"/>
        <v>14858.88</v>
      </c>
      <c r="U126">
        <f t="shared" si="8"/>
        <v>14795.950080000001</v>
      </c>
      <c r="V126">
        <f t="shared" si="9"/>
        <v>0.49893896003062177</v>
      </c>
    </row>
    <row r="127" spans="1:22" x14ac:dyDescent="0.25">
      <c r="A127" t="s">
        <v>224</v>
      </c>
      <c r="B127" s="14">
        <v>45859</v>
      </c>
      <c r="C127" s="14">
        <v>45876</v>
      </c>
      <c r="D127" s="7">
        <f t="shared" si="10"/>
        <v>17</v>
      </c>
      <c r="E127" s="5" t="str">
        <f t="shared" si="11"/>
        <v>Q3</v>
      </c>
      <c r="F127" t="s">
        <v>646</v>
      </c>
      <c r="G127" t="s">
        <v>651</v>
      </c>
      <c r="H127" t="s">
        <v>665</v>
      </c>
      <c r="I127" t="s">
        <v>706</v>
      </c>
      <c r="J127" t="s">
        <v>711</v>
      </c>
      <c r="K127" t="s">
        <v>724</v>
      </c>
      <c r="L127" t="s">
        <v>733</v>
      </c>
      <c r="M127">
        <f t="shared" si="12"/>
        <v>0.1622882011552248</v>
      </c>
      <c r="N127" t="s">
        <v>943</v>
      </c>
      <c r="O127" s="7">
        <v>1204.95</v>
      </c>
      <c r="P127" s="7">
        <v>2065.73</v>
      </c>
      <c r="Q127" s="12">
        <v>0.13600000000000001</v>
      </c>
      <c r="R127">
        <v>10</v>
      </c>
      <c r="S127">
        <f t="shared" si="6"/>
        <v>17847.907199999998</v>
      </c>
      <c r="T127">
        <f t="shared" si="7"/>
        <v>12049.5</v>
      </c>
      <c r="U127">
        <f t="shared" si="8"/>
        <v>5798.4071999999978</v>
      </c>
      <c r="V127">
        <f t="shared" si="9"/>
        <v>0.32487882949100039</v>
      </c>
    </row>
    <row r="128" spans="1:22" x14ac:dyDescent="0.25">
      <c r="A128" t="s">
        <v>581</v>
      </c>
      <c r="B128" s="14">
        <v>45330</v>
      </c>
      <c r="C128" s="14">
        <v>45331</v>
      </c>
      <c r="D128" s="7">
        <f t="shared" si="10"/>
        <v>1</v>
      </c>
      <c r="E128" s="5" t="str">
        <f t="shared" si="11"/>
        <v>Q1</v>
      </c>
      <c r="F128" t="s">
        <v>646</v>
      </c>
      <c r="G128" t="s">
        <v>650</v>
      </c>
      <c r="H128" t="s">
        <v>675</v>
      </c>
      <c r="I128" t="s">
        <v>701</v>
      </c>
      <c r="J128" t="s">
        <v>708</v>
      </c>
      <c r="K128" t="s">
        <v>721</v>
      </c>
      <c r="L128" t="s">
        <v>727</v>
      </c>
      <c r="M128">
        <f t="shared" si="12"/>
        <v>0.15949027837088148</v>
      </c>
      <c r="N128" t="s">
        <v>1298</v>
      </c>
      <c r="O128" s="7">
        <v>1233.52</v>
      </c>
      <c r="P128" s="7">
        <v>1543.76</v>
      </c>
      <c r="Q128" s="12">
        <v>0.126</v>
      </c>
      <c r="R128">
        <v>13</v>
      </c>
      <c r="S128">
        <f t="shared" si="6"/>
        <v>17540.201120000002</v>
      </c>
      <c r="T128">
        <f t="shared" si="7"/>
        <v>16035.76</v>
      </c>
      <c r="U128">
        <f t="shared" si="8"/>
        <v>1504.4411200000013</v>
      </c>
      <c r="V128">
        <f t="shared" si="9"/>
        <v>8.5771030201277493E-2</v>
      </c>
    </row>
    <row r="129" spans="1:22" x14ac:dyDescent="0.25">
      <c r="A129" t="s">
        <v>520</v>
      </c>
      <c r="B129" s="14">
        <v>45387</v>
      </c>
      <c r="C129" s="14">
        <v>45391</v>
      </c>
      <c r="D129" s="7">
        <f t="shared" si="10"/>
        <v>4</v>
      </c>
      <c r="E129" s="5" t="str">
        <f t="shared" si="11"/>
        <v>Q2</v>
      </c>
      <c r="F129" t="s">
        <v>646</v>
      </c>
      <c r="G129" t="s">
        <v>651</v>
      </c>
      <c r="H129" t="s">
        <v>665</v>
      </c>
      <c r="I129" t="s">
        <v>703</v>
      </c>
      <c r="J129" t="s">
        <v>711</v>
      </c>
      <c r="K129" t="s">
        <v>723</v>
      </c>
      <c r="L129" t="s">
        <v>727</v>
      </c>
      <c r="M129">
        <f t="shared" si="12"/>
        <v>0.29401903022152703</v>
      </c>
      <c r="N129" t="s">
        <v>1238</v>
      </c>
      <c r="O129" s="7">
        <v>395.07</v>
      </c>
      <c r="P129" s="7">
        <v>970.27</v>
      </c>
      <c r="Q129" s="12">
        <v>0.123</v>
      </c>
      <c r="R129">
        <v>38</v>
      </c>
      <c r="S129">
        <f t="shared" si="6"/>
        <v>32335.21802</v>
      </c>
      <c r="T129">
        <f t="shared" si="7"/>
        <v>15012.66</v>
      </c>
      <c r="U129">
        <f t="shared" si="8"/>
        <v>17322.55802</v>
      </c>
      <c r="V129">
        <f t="shared" si="9"/>
        <v>0.53571799049833657</v>
      </c>
    </row>
    <row r="130" spans="1:22" x14ac:dyDescent="0.25">
      <c r="A130" t="s">
        <v>574</v>
      </c>
      <c r="B130" s="14">
        <v>45430</v>
      </c>
      <c r="C130" s="14">
        <v>45434</v>
      </c>
      <c r="D130" s="7">
        <f t="shared" si="10"/>
        <v>4</v>
      </c>
      <c r="E130" s="5" t="str">
        <f t="shared" si="11"/>
        <v>Q2</v>
      </c>
      <c r="F130" t="s">
        <v>646</v>
      </c>
      <c r="G130" t="s">
        <v>650</v>
      </c>
      <c r="H130" t="s">
        <v>664</v>
      </c>
      <c r="I130" t="s">
        <v>701</v>
      </c>
      <c r="J130" t="s">
        <v>711</v>
      </c>
      <c r="K130" t="s">
        <v>722</v>
      </c>
      <c r="L130" t="s">
        <v>733</v>
      </c>
      <c r="M130">
        <f t="shared" si="12"/>
        <v>0.1191961191563503</v>
      </c>
      <c r="N130" t="s">
        <v>1291</v>
      </c>
      <c r="O130" s="7">
        <v>857.42</v>
      </c>
      <c r="P130" s="7">
        <v>1658.92</v>
      </c>
      <c r="Q130" s="12">
        <v>0.122</v>
      </c>
      <c r="R130">
        <v>9</v>
      </c>
      <c r="S130">
        <f t="shared" ref="S130:S193" si="13">P130*R130*(1-Q130)</f>
        <v>13108.78584</v>
      </c>
      <c r="T130">
        <f t="shared" ref="T130:T193" si="14">O130*R130</f>
        <v>7716.78</v>
      </c>
      <c r="U130">
        <f t="shared" ref="U130:U193" si="15">S130-T130</f>
        <v>5392.0058400000007</v>
      </c>
      <c r="V130">
        <f t="shared" ref="V130:V193" si="16">IF(S130=0,0,U130/S130)</f>
        <v>0.41132763215544305</v>
      </c>
    </row>
    <row r="131" spans="1:22" x14ac:dyDescent="0.25">
      <c r="A131" t="s">
        <v>624</v>
      </c>
      <c r="B131" s="14">
        <v>45319</v>
      </c>
      <c r="C131" s="15">
        <v>45318</v>
      </c>
      <c r="D131" s="7">
        <f t="shared" ref="D131:D194" si="17">C131-B131</f>
        <v>-1</v>
      </c>
      <c r="E131" s="5" t="str">
        <f t="shared" ref="E131:E194" si="18">IF(AND(MONTH(B131)&gt;=1,MONTH(B131)&lt;=3),"Q1", IF(AND(MONTH(B131)&gt;=4,MONTH(B131)&lt;=6), "Q2", IF(AND(MONTH(B131)&gt;=7,MONTH(B131)&lt;=9),"Q3", IF(AND(MONTH(B131)&gt;=10,MONTH(B131)&lt;=12),"Q4"))))</f>
        <v>Q1</v>
      </c>
      <c r="F131" t="s">
        <v>646</v>
      </c>
      <c r="G131" t="s">
        <v>661</v>
      </c>
      <c r="H131" t="s">
        <v>695</v>
      </c>
      <c r="I131" t="s">
        <v>706</v>
      </c>
      <c r="J131" t="s">
        <v>708</v>
      </c>
      <c r="K131" t="s">
        <v>719</v>
      </c>
      <c r="L131" t="s">
        <v>727</v>
      </c>
      <c r="M131">
        <f t="shared" ref="M131:M194" si="19">(S131/$S$634)*100</f>
        <v>1.8890015652475677E-2</v>
      </c>
      <c r="N131" t="s">
        <v>1341</v>
      </c>
      <c r="O131" s="7">
        <v>109.75</v>
      </c>
      <c r="P131" s="7">
        <v>124.25</v>
      </c>
      <c r="Q131" s="12">
        <v>0.12</v>
      </c>
      <c r="R131">
        <v>19</v>
      </c>
      <c r="S131">
        <f t="shared" si="13"/>
        <v>2077.46</v>
      </c>
      <c r="T131">
        <f t="shared" si="14"/>
        <v>2085.25</v>
      </c>
      <c r="U131">
        <f t="shared" si="15"/>
        <v>-7.7899999999999636</v>
      </c>
      <c r="V131">
        <f t="shared" si="16"/>
        <v>-3.7497713554051405E-3</v>
      </c>
    </row>
    <row r="132" spans="1:22" x14ac:dyDescent="0.25">
      <c r="A132" t="s">
        <v>247</v>
      </c>
      <c r="B132" s="14">
        <v>45538</v>
      </c>
      <c r="C132" s="14">
        <v>45543</v>
      </c>
      <c r="D132" s="7">
        <f t="shared" si="17"/>
        <v>5</v>
      </c>
      <c r="E132" s="5" t="str">
        <f t="shared" si="18"/>
        <v>Q3</v>
      </c>
      <c r="F132" t="s">
        <v>646</v>
      </c>
      <c r="G132" t="s">
        <v>651</v>
      </c>
      <c r="H132" t="s">
        <v>665</v>
      </c>
      <c r="I132" t="s">
        <v>705</v>
      </c>
      <c r="J132" t="s">
        <v>711</v>
      </c>
      <c r="K132" t="s">
        <v>723</v>
      </c>
      <c r="L132" t="s">
        <v>728</v>
      </c>
      <c r="M132">
        <f t="shared" si="19"/>
        <v>2.6187235991486355E-2</v>
      </c>
      <c r="N132" t="s">
        <v>966</v>
      </c>
      <c r="O132" s="7">
        <v>197.63</v>
      </c>
      <c r="P132" s="7">
        <v>325.79000000000002</v>
      </c>
      <c r="Q132" s="12">
        <v>0.11600000000000001</v>
      </c>
      <c r="R132">
        <v>10</v>
      </c>
      <c r="S132">
        <f t="shared" si="13"/>
        <v>2879.9836</v>
      </c>
      <c r="T132">
        <f t="shared" si="14"/>
        <v>1976.3</v>
      </c>
      <c r="U132">
        <f t="shared" si="15"/>
        <v>903.68360000000007</v>
      </c>
      <c r="V132">
        <f t="shared" si="16"/>
        <v>0.31378081458519419</v>
      </c>
    </row>
    <row r="133" spans="1:22" x14ac:dyDescent="0.25">
      <c r="A133" t="s">
        <v>342</v>
      </c>
      <c r="B133" s="14">
        <v>45087</v>
      </c>
      <c r="C133" s="14">
        <v>45095</v>
      </c>
      <c r="D133" s="7">
        <f t="shared" si="17"/>
        <v>8</v>
      </c>
      <c r="E133" s="5" t="str">
        <f t="shared" si="18"/>
        <v>Q2</v>
      </c>
      <c r="F133" t="s">
        <v>646</v>
      </c>
      <c r="G133" t="s">
        <v>650</v>
      </c>
      <c r="H133" t="s">
        <v>678</v>
      </c>
      <c r="I133" t="s">
        <v>706</v>
      </c>
      <c r="J133" t="s">
        <v>709</v>
      </c>
      <c r="K133" t="s">
        <v>722</v>
      </c>
      <c r="L133" t="s">
        <v>730</v>
      </c>
      <c r="M133">
        <f t="shared" si="19"/>
        <v>3.4551009877362919E-2</v>
      </c>
      <c r="N133" t="s">
        <v>1061</v>
      </c>
      <c r="O133" s="7">
        <v>894.23</v>
      </c>
      <c r="P133" s="7">
        <v>1421.55</v>
      </c>
      <c r="Q133" s="12">
        <v>0.109</v>
      </c>
      <c r="R133">
        <v>3</v>
      </c>
      <c r="S133">
        <f t="shared" si="13"/>
        <v>3799.8031499999997</v>
      </c>
      <c r="T133">
        <f t="shared" si="14"/>
        <v>2682.69</v>
      </c>
      <c r="U133">
        <f t="shared" si="15"/>
        <v>1117.1131499999997</v>
      </c>
      <c r="V133">
        <f t="shared" si="16"/>
        <v>0.29399237431549574</v>
      </c>
    </row>
    <row r="134" spans="1:22" x14ac:dyDescent="0.25">
      <c r="A134" t="s">
        <v>237</v>
      </c>
      <c r="B134" s="14">
        <v>45164</v>
      </c>
      <c r="C134" s="14">
        <v>45179</v>
      </c>
      <c r="D134" s="7">
        <f t="shared" si="17"/>
        <v>15</v>
      </c>
      <c r="E134" s="5" t="str">
        <f t="shared" si="18"/>
        <v>Q3</v>
      </c>
      <c r="F134" t="s">
        <v>646</v>
      </c>
      <c r="G134" t="s">
        <v>661</v>
      </c>
      <c r="H134" t="s">
        <v>695</v>
      </c>
      <c r="I134" t="s">
        <v>703</v>
      </c>
      <c r="J134" t="s">
        <v>709</v>
      </c>
      <c r="K134" t="s">
        <v>725</v>
      </c>
      <c r="L134" t="s">
        <v>727</v>
      </c>
      <c r="M134">
        <f t="shared" si="19"/>
        <v>4.0949035883207717E-2</v>
      </c>
      <c r="N134" t="s">
        <v>956</v>
      </c>
      <c r="O134" s="7">
        <v>241.14</v>
      </c>
      <c r="P134" s="7">
        <v>496.52</v>
      </c>
      <c r="Q134" s="12">
        <v>9.2999999999999999E-2</v>
      </c>
      <c r="R134">
        <v>10</v>
      </c>
      <c r="S134">
        <f t="shared" si="13"/>
        <v>4503.4363999999996</v>
      </c>
      <c r="T134">
        <f t="shared" si="14"/>
        <v>2411.3999999999996</v>
      </c>
      <c r="U134">
        <f t="shared" si="15"/>
        <v>2092.0364</v>
      </c>
      <c r="V134">
        <f t="shared" si="16"/>
        <v>0.46454223268257994</v>
      </c>
    </row>
    <row r="135" spans="1:22" x14ac:dyDescent="0.25">
      <c r="A135" t="s">
        <v>393</v>
      </c>
      <c r="B135" s="14">
        <v>45664</v>
      </c>
      <c r="C135" s="14">
        <v>45677</v>
      </c>
      <c r="D135" s="7">
        <f t="shared" si="17"/>
        <v>13</v>
      </c>
      <c r="E135" s="5" t="str">
        <f t="shared" si="18"/>
        <v>Q1</v>
      </c>
      <c r="F135" t="s">
        <v>646</v>
      </c>
      <c r="G135" t="s">
        <v>661</v>
      </c>
      <c r="H135" t="s">
        <v>695</v>
      </c>
      <c r="I135" t="s">
        <v>701</v>
      </c>
      <c r="J135" t="s">
        <v>711</v>
      </c>
      <c r="K135" t="s">
        <v>723</v>
      </c>
      <c r="L135" t="s">
        <v>729</v>
      </c>
      <c r="M135">
        <f t="shared" si="19"/>
        <v>5.9797247739912934E-2</v>
      </c>
      <c r="N135" t="s">
        <v>1112</v>
      </c>
      <c r="O135" s="7">
        <v>432.13</v>
      </c>
      <c r="P135" s="7">
        <v>1034.6600000000001</v>
      </c>
      <c r="Q135" s="12">
        <v>9.1999999999999998E-2</v>
      </c>
      <c r="R135">
        <v>7</v>
      </c>
      <c r="S135">
        <f t="shared" si="13"/>
        <v>6576.298960000001</v>
      </c>
      <c r="T135">
        <f t="shared" si="14"/>
        <v>3024.91</v>
      </c>
      <c r="U135">
        <f t="shared" si="15"/>
        <v>3551.3889600000011</v>
      </c>
      <c r="V135">
        <f t="shared" si="16"/>
        <v>0.54002851476204794</v>
      </c>
    </row>
    <row r="136" spans="1:22" x14ac:dyDescent="0.25">
      <c r="A136" t="s">
        <v>569</v>
      </c>
      <c r="B136" s="14">
        <v>45703</v>
      </c>
      <c r="C136" s="14">
        <v>45717</v>
      </c>
      <c r="D136" s="7">
        <f t="shared" si="17"/>
        <v>14</v>
      </c>
      <c r="E136" s="5" t="str">
        <f t="shared" si="18"/>
        <v>Q1</v>
      </c>
      <c r="F136" t="s">
        <v>646</v>
      </c>
      <c r="G136" t="s">
        <v>650</v>
      </c>
      <c r="H136" t="s">
        <v>675</v>
      </c>
      <c r="I136" t="s">
        <v>702</v>
      </c>
      <c r="J136" t="s">
        <v>710</v>
      </c>
      <c r="K136" t="s">
        <v>716</v>
      </c>
      <c r="L136" t="s">
        <v>733</v>
      </c>
      <c r="M136">
        <f t="shared" si="19"/>
        <v>0.1442195862985115</v>
      </c>
      <c r="N136" t="s">
        <v>1286</v>
      </c>
      <c r="O136" s="7">
        <v>1162.8599999999999</v>
      </c>
      <c r="P136" s="7">
        <v>1447.68</v>
      </c>
      <c r="Q136" s="12">
        <v>8.6999999999999994E-2</v>
      </c>
      <c r="R136">
        <v>12</v>
      </c>
      <c r="S136">
        <f t="shared" si="13"/>
        <v>15860.782080000001</v>
      </c>
      <c r="T136">
        <f t="shared" si="14"/>
        <v>13954.32</v>
      </c>
      <c r="U136">
        <f t="shared" si="15"/>
        <v>1906.4620800000012</v>
      </c>
      <c r="V136">
        <f t="shared" si="16"/>
        <v>0.12019975247021369</v>
      </c>
    </row>
    <row r="137" spans="1:22" x14ac:dyDescent="0.25">
      <c r="A137" t="s">
        <v>319</v>
      </c>
      <c r="B137" s="14">
        <v>45462</v>
      </c>
      <c r="C137" s="14">
        <v>45463</v>
      </c>
      <c r="D137" s="7">
        <f t="shared" si="17"/>
        <v>1</v>
      </c>
      <c r="E137" s="5" t="str">
        <f t="shared" si="18"/>
        <v>Q2</v>
      </c>
      <c r="F137" t="s">
        <v>646</v>
      </c>
      <c r="G137" t="s">
        <v>650</v>
      </c>
      <c r="H137" t="s">
        <v>662</v>
      </c>
      <c r="I137" t="s">
        <v>705</v>
      </c>
      <c r="J137" t="s">
        <v>711</v>
      </c>
      <c r="K137" t="s">
        <v>713</v>
      </c>
      <c r="L137" t="s">
        <v>731</v>
      </c>
      <c r="M137">
        <f t="shared" si="19"/>
        <v>5.3945882398112266E-2</v>
      </c>
      <c r="N137" t="s">
        <v>1038</v>
      </c>
      <c r="O137" s="7">
        <v>231.63</v>
      </c>
      <c r="P137" s="7">
        <v>537.39</v>
      </c>
      <c r="Q137" s="12">
        <v>0.08</v>
      </c>
      <c r="R137">
        <v>12</v>
      </c>
      <c r="S137">
        <f t="shared" si="13"/>
        <v>5932.7856000000002</v>
      </c>
      <c r="T137">
        <f t="shared" si="14"/>
        <v>2779.56</v>
      </c>
      <c r="U137">
        <f t="shared" si="15"/>
        <v>3153.2256000000002</v>
      </c>
      <c r="V137">
        <f t="shared" si="16"/>
        <v>0.53149158129024587</v>
      </c>
    </row>
    <row r="138" spans="1:22" x14ac:dyDescent="0.25">
      <c r="A138" t="s">
        <v>30</v>
      </c>
      <c r="B138" s="14">
        <v>45039</v>
      </c>
      <c r="C138" s="15">
        <v>45038</v>
      </c>
      <c r="D138" s="7">
        <f t="shared" si="17"/>
        <v>-1</v>
      </c>
      <c r="E138" s="5" t="str">
        <f t="shared" si="18"/>
        <v>Q2</v>
      </c>
      <c r="F138" t="s">
        <v>646</v>
      </c>
      <c r="G138" t="s">
        <v>650</v>
      </c>
      <c r="H138" t="s">
        <v>664</v>
      </c>
      <c r="I138" t="s">
        <v>705</v>
      </c>
      <c r="J138" t="s">
        <v>709</v>
      </c>
      <c r="K138" t="s">
        <v>718</v>
      </c>
      <c r="L138" t="s">
        <v>731</v>
      </c>
      <c r="M138">
        <f t="shared" si="19"/>
        <v>6.4473407619367221E-2</v>
      </c>
      <c r="N138" t="s">
        <v>749</v>
      </c>
      <c r="O138" s="7">
        <v>756.51</v>
      </c>
      <c r="P138" s="7">
        <v>850.8</v>
      </c>
      <c r="Q138" s="12">
        <v>7.3999999999999996E-2</v>
      </c>
      <c r="R138">
        <v>9</v>
      </c>
      <c r="S138">
        <f t="shared" si="13"/>
        <v>7090.5672000000004</v>
      </c>
      <c r="T138">
        <f t="shared" si="14"/>
        <v>6808.59</v>
      </c>
      <c r="U138">
        <f t="shared" si="15"/>
        <v>281.97720000000027</v>
      </c>
      <c r="V138">
        <f t="shared" si="16"/>
        <v>3.9767932810791252E-2</v>
      </c>
    </row>
    <row r="139" spans="1:22" x14ac:dyDescent="0.25">
      <c r="A139" t="s">
        <v>35</v>
      </c>
      <c r="B139" s="14">
        <v>45498</v>
      </c>
      <c r="C139" s="15">
        <v>45497</v>
      </c>
      <c r="D139" s="7">
        <f t="shared" si="17"/>
        <v>-1</v>
      </c>
      <c r="E139" s="5" t="str">
        <f t="shared" si="18"/>
        <v>Q3</v>
      </c>
      <c r="F139" t="s">
        <v>646</v>
      </c>
      <c r="G139" t="s">
        <v>650</v>
      </c>
      <c r="H139" t="s">
        <v>675</v>
      </c>
      <c r="I139" t="s">
        <v>703</v>
      </c>
      <c r="J139" t="s">
        <v>711</v>
      </c>
      <c r="K139" t="s">
        <v>713</v>
      </c>
      <c r="L139" t="s">
        <v>731</v>
      </c>
      <c r="M139">
        <f t="shared" si="19"/>
        <v>0.21624879504435227</v>
      </c>
      <c r="N139" t="s">
        <v>754</v>
      </c>
      <c r="O139" s="7">
        <v>1494.4</v>
      </c>
      <c r="P139" s="7">
        <v>3661.07</v>
      </c>
      <c r="Q139" s="12">
        <v>7.1999999999999995E-2</v>
      </c>
      <c r="R139">
        <v>7</v>
      </c>
      <c r="S139">
        <f t="shared" si="13"/>
        <v>23782.310720000001</v>
      </c>
      <c r="T139">
        <f t="shared" si="14"/>
        <v>10460.800000000001</v>
      </c>
      <c r="U139">
        <f t="shared" si="15"/>
        <v>13321.51072</v>
      </c>
      <c r="V139">
        <f t="shared" si="16"/>
        <v>0.56014366630897339</v>
      </c>
    </row>
    <row r="140" spans="1:22" x14ac:dyDescent="0.25">
      <c r="A140" t="s">
        <v>303</v>
      </c>
      <c r="B140" s="14">
        <v>45319</v>
      </c>
      <c r="C140" s="14">
        <v>45321</v>
      </c>
      <c r="D140" s="7">
        <f t="shared" si="17"/>
        <v>2</v>
      </c>
      <c r="E140" s="5" t="str">
        <f t="shared" si="18"/>
        <v>Q1</v>
      </c>
      <c r="F140" t="s">
        <v>646</v>
      </c>
      <c r="G140" t="s">
        <v>661</v>
      </c>
      <c r="H140" t="s">
        <v>695</v>
      </c>
      <c r="I140" t="s">
        <v>704</v>
      </c>
      <c r="J140" t="s">
        <v>710</v>
      </c>
      <c r="K140" t="s">
        <v>721</v>
      </c>
      <c r="L140" t="s">
        <v>733</v>
      </c>
      <c r="M140">
        <f t="shared" si="19"/>
        <v>0.24337028345804071</v>
      </c>
      <c r="N140" t="s">
        <v>1022</v>
      </c>
      <c r="O140" s="7">
        <v>798.45</v>
      </c>
      <c r="P140" s="7">
        <v>1592.02</v>
      </c>
      <c r="Q140" s="12">
        <v>6.6000000000000003E-2</v>
      </c>
      <c r="R140">
        <v>18</v>
      </c>
      <c r="S140">
        <f t="shared" si="13"/>
        <v>26765.040239999998</v>
      </c>
      <c r="T140">
        <f t="shared" si="14"/>
        <v>14372.1</v>
      </c>
      <c r="U140">
        <f t="shared" si="15"/>
        <v>12392.940239999998</v>
      </c>
      <c r="V140">
        <f t="shared" si="16"/>
        <v>0.46302714768494585</v>
      </c>
    </row>
    <row r="141" spans="1:22" x14ac:dyDescent="0.25">
      <c r="A141" t="s">
        <v>558</v>
      </c>
      <c r="B141" s="14">
        <v>44968</v>
      </c>
      <c r="C141" s="14">
        <v>44969</v>
      </c>
      <c r="D141" s="7">
        <f t="shared" si="17"/>
        <v>1</v>
      </c>
      <c r="E141" s="5" t="str">
        <f t="shared" si="18"/>
        <v>Q1</v>
      </c>
      <c r="F141" t="s">
        <v>646</v>
      </c>
      <c r="G141" t="s">
        <v>651</v>
      </c>
      <c r="H141" t="s">
        <v>663</v>
      </c>
      <c r="I141" t="s">
        <v>703</v>
      </c>
      <c r="J141" t="s">
        <v>707</v>
      </c>
      <c r="K141" t="s">
        <v>726</v>
      </c>
      <c r="L141" t="s">
        <v>733</v>
      </c>
      <c r="M141">
        <f t="shared" si="19"/>
        <v>4.3074791777852908E-2</v>
      </c>
      <c r="N141" t="s">
        <v>1275</v>
      </c>
      <c r="O141" s="7">
        <v>944.61</v>
      </c>
      <c r="P141" s="7">
        <v>839.04</v>
      </c>
      <c r="Q141" s="12">
        <v>5.8999999999999997E-2</v>
      </c>
      <c r="R141">
        <v>6</v>
      </c>
      <c r="S141">
        <f t="shared" si="13"/>
        <v>4737.2198399999997</v>
      </c>
      <c r="T141">
        <f t="shared" si="14"/>
        <v>5667.66</v>
      </c>
      <c r="U141">
        <f t="shared" si="15"/>
        <v>-930.44016000000011</v>
      </c>
      <c r="V141">
        <f t="shared" si="16"/>
        <v>-0.19641059343363726</v>
      </c>
    </row>
    <row r="142" spans="1:22" x14ac:dyDescent="0.25">
      <c r="A142" t="s">
        <v>235</v>
      </c>
      <c r="B142" s="14">
        <v>45894</v>
      </c>
      <c r="C142" s="14">
        <v>45924</v>
      </c>
      <c r="D142" s="7">
        <f t="shared" si="17"/>
        <v>30</v>
      </c>
      <c r="E142" s="5" t="str">
        <f t="shared" si="18"/>
        <v>Q3</v>
      </c>
      <c r="F142" t="s">
        <v>646</v>
      </c>
      <c r="G142" t="s">
        <v>650</v>
      </c>
      <c r="H142" t="s">
        <v>664</v>
      </c>
      <c r="I142" t="s">
        <v>704</v>
      </c>
      <c r="J142" t="s">
        <v>711</v>
      </c>
      <c r="K142" t="s">
        <v>717</v>
      </c>
      <c r="L142" t="s">
        <v>727</v>
      </c>
      <c r="M142">
        <f t="shared" si="19"/>
        <v>0.12293094274407226</v>
      </c>
      <c r="N142" t="s">
        <v>954</v>
      </c>
      <c r="O142" s="7">
        <v>589.14</v>
      </c>
      <c r="P142" s="7">
        <v>1300.58</v>
      </c>
      <c r="Q142" s="12">
        <v>5.5E-2</v>
      </c>
      <c r="R142">
        <v>11</v>
      </c>
      <c r="S142">
        <f t="shared" si="13"/>
        <v>13519.529099999998</v>
      </c>
      <c r="T142">
        <f t="shared" si="14"/>
        <v>6480.54</v>
      </c>
      <c r="U142">
        <f t="shared" si="15"/>
        <v>7038.989099999998</v>
      </c>
      <c r="V142">
        <f t="shared" si="16"/>
        <v>0.52065342275863724</v>
      </c>
    </row>
    <row r="143" spans="1:22" x14ac:dyDescent="0.25">
      <c r="A143" t="s">
        <v>534</v>
      </c>
      <c r="B143" s="14">
        <v>45047</v>
      </c>
      <c r="C143" s="14">
        <v>45064</v>
      </c>
      <c r="D143" s="7">
        <f t="shared" si="17"/>
        <v>17</v>
      </c>
      <c r="E143" s="5" t="str">
        <f t="shared" si="18"/>
        <v>Q2</v>
      </c>
      <c r="F143" t="s">
        <v>646</v>
      </c>
      <c r="G143" t="s">
        <v>651</v>
      </c>
      <c r="H143" t="s">
        <v>663</v>
      </c>
      <c r="I143" t="s">
        <v>701</v>
      </c>
      <c r="K143" t="s">
        <v>721</v>
      </c>
      <c r="L143" t="s">
        <v>727</v>
      </c>
      <c r="M143">
        <f t="shared" si="19"/>
        <v>7.7810070008926951E-3</v>
      </c>
      <c r="N143" t="s">
        <v>1252</v>
      </c>
      <c r="O143" s="7">
        <v>327.97</v>
      </c>
      <c r="P143" s="7">
        <v>299.94</v>
      </c>
      <c r="Q143" s="12">
        <v>4.9000000000000002E-2</v>
      </c>
      <c r="R143">
        <v>3</v>
      </c>
      <c r="S143">
        <f t="shared" si="13"/>
        <v>855.72881999999993</v>
      </c>
      <c r="T143">
        <f t="shared" si="14"/>
        <v>983.91000000000008</v>
      </c>
      <c r="U143">
        <f t="shared" si="15"/>
        <v>-128.18118000000015</v>
      </c>
      <c r="V143">
        <f t="shared" si="16"/>
        <v>-0.14979182306843442</v>
      </c>
    </row>
    <row r="144" spans="1:22" x14ac:dyDescent="0.25">
      <c r="A144" t="s">
        <v>628</v>
      </c>
      <c r="B144" s="14">
        <v>45468</v>
      </c>
      <c r="C144" s="14">
        <v>45473</v>
      </c>
      <c r="D144" s="7">
        <f t="shared" si="17"/>
        <v>5</v>
      </c>
      <c r="E144" s="5" t="str">
        <f t="shared" si="18"/>
        <v>Q2</v>
      </c>
      <c r="F144" t="s">
        <v>646</v>
      </c>
      <c r="G144" t="s">
        <v>650</v>
      </c>
      <c r="H144" t="s">
        <v>662</v>
      </c>
      <c r="I144" t="s">
        <v>702</v>
      </c>
      <c r="J144" t="s">
        <v>711</v>
      </c>
      <c r="K144" t="s">
        <v>724</v>
      </c>
      <c r="L144" t="s">
        <v>729</v>
      </c>
      <c r="M144">
        <f t="shared" si="19"/>
        <v>0.74689822886473045</v>
      </c>
      <c r="N144" t="s">
        <v>1345</v>
      </c>
      <c r="O144" s="7">
        <v>1323.55</v>
      </c>
      <c r="P144" s="7">
        <v>3230.35</v>
      </c>
      <c r="Q144" s="12">
        <v>2.1999999999999999E-2</v>
      </c>
      <c r="R144">
        <v>26</v>
      </c>
      <c r="S144">
        <f t="shared" si="13"/>
        <v>82141.339799999987</v>
      </c>
      <c r="T144">
        <f t="shared" si="14"/>
        <v>34412.299999999996</v>
      </c>
      <c r="U144">
        <f t="shared" si="15"/>
        <v>47729.039799999991</v>
      </c>
      <c r="V144">
        <f t="shared" si="16"/>
        <v>0.58105991351263542</v>
      </c>
    </row>
    <row r="145" spans="1:22" x14ac:dyDescent="0.25">
      <c r="A145" t="s">
        <v>405</v>
      </c>
      <c r="B145" s="14">
        <v>45823</v>
      </c>
      <c r="C145" s="14">
        <v>45838</v>
      </c>
      <c r="D145" s="7">
        <f t="shared" si="17"/>
        <v>15</v>
      </c>
      <c r="E145" s="5" t="str">
        <f t="shared" si="18"/>
        <v>Q2</v>
      </c>
      <c r="F145" t="s">
        <v>646</v>
      </c>
      <c r="G145" t="s">
        <v>661</v>
      </c>
      <c r="H145" t="s">
        <v>682</v>
      </c>
      <c r="I145" t="s">
        <v>705</v>
      </c>
      <c r="J145" t="s">
        <v>711</v>
      </c>
      <c r="K145" t="s">
        <v>712</v>
      </c>
      <c r="L145" t="s">
        <v>732</v>
      </c>
      <c r="M145">
        <f t="shared" si="19"/>
        <v>0.14678145590250796</v>
      </c>
      <c r="N145" t="s">
        <v>1123</v>
      </c>
      <c r="O145" s="7">
        <v>1487.59</v>
      </c>
      <c r="P145" s="7">
        <v>1480.83</v>
      </c>
      <c r="Q145" s="12">
        <v>8.9999999999999993E-3</v>
      </c>
      <c r="R145">
        <v>11</v>
      </c>
      <c r="S145">
        <f t="shared" si="13"/>
        <v>16142.527829999999</v>
      </c>
      <c r="T145">
        <f t="shared" si="14"/>
        <v>16363.49</v>
      </c>
      <c r="U145">
        <f t="shared" si="15"/>
        <v>-220.9621700000007</v>
      </c>
      <c r="V145">
        <f t="shared" si="16"/>
        <v>-1.3688201273492908E-2</v>
      </c>
    </row>
    <row r="146" spans="1:22" x14ac:dyDescent="0.25">
      <c r="A146" t="s">
        <v>117</v>
      </c>
      <c r="B146" s="14">
        <v>45747</v>
      </c>
      <c r="C146" s="14">
        <v>45751</v>
      </c>
      <c r="D146" s="7">
        <f t="shared" si="17"/>
        <v>4</v>
      </c>
      <c r="E146" s="5" t="str">
        <f t="shared" si="18"/>
        <v>Q1</v>
      </c>
      <c r="F146" t="s">
        <v>646</v>
      </c>
      <c r="G146" t="s">
        <v>650</v>
      </c>
      <c r="H146" t="s">
        <v>678</v>
      </c>
      <c r="I146" t="s">
        <v>701</v>
      </c>
      <c r="J146" t="s">
        <v>707</v>
      </c>
      <c r="K146" t="s">
        <v>712</v>
      </c>
      <c r="L146" t="s">
        <v>731</v>
      </c>
      <c r="M146">
        <f t="shared" si="19"/>
        <v>0.12429742323143092</v>
      </c>
      <c r="N146" t="s">
        <v>836</v>
      </c>
      <c r="O146" s="7">
        <v>862.08</v>
      </c>
      <c r="P146" s="7">
        <v>1952.83</v>
      </c>
      <c r="Q146" s="12">
        <v>0</v>
      </c>
      <c r="R146">
        <v>7</v>
      </c>
      <c r="S146">
        <f t="shared" si="13"/>
        <v>13669.81</v>
      </c>
      <c r="T146">
        <f t="shared" si="14"/>
        <v>6034.56</v>
      </c>
      <c r="U146">
        <f t="shared" si="15"/>
        <v>7635.2499999999991</v>
      </c>
      <c r="V146">
        <f t="shared" si="16"/>
        <v>0.5585483631447693</v>
      </c>
    </row>
    <row r="147" spans="1:22" x14ac:dyDescent="0.25">
      <c r="A147" t="s">
        <v>627</v>
      </c>
      <c r="B147" s="14">
        <v>45584</v>
      </c>
      <c r="C147" s="14">
        <v>45602</v>
      </c>
      <c r="D147" s="7">
        <f t="shared" si="17"/>
        <v>18</v>
      </c>
      <c r="E147" s="5" t="str">
        <f t="shared" si="18"/>
        <v>Q4</v>
      </c>
      <c r="F147" t="s">
        <v>648</v>
      </c>
      <c r="G147" t="s">
        <v>660</v>
      </c>
      <c r="H147" t="s">
        <v>677</v>
      </c>
      <c r="I147" t="s">
        <v>702</v>
      </c>
      <c r="J147" t="s">
        <v>709</v>
      </c>
      <c r="K147" t="s">
        <v>712</v>
      </c>
      <c r="L147" t="s">
        <v>732</v>
      </c>
      <c r="M147">
        <f t="shared" si="19"/>
        <v>8.4164619045135017E-2</v>
      </c>
      <c r="N147" t="s">
        <v>1344</v>
      </c>
      <c r="O147" s="7">
        <v>942.02</v>
      </c>
      <c r="P147" s="7">
        <v>1028.46</v>
      </c>
      <c r="Q147" s="12">
        <v>0</v>
      </c>
      <c r="R147">
        <v>9</v>
      </c>
      <c r="S147">
        <f t="shared" si="13"/>
        <v>9256.14</v>
      </c>
      <c r="T147">
        <f t="shared" si="14"/>
        <v>8478.18</v>
      </c>
      <c r="U147">
        <f t="shared" si="15"/>
        <v>777.95999999999913</v>
      </c>
      <c r="V147">
        <f t="shared" si="16"/>
        <v>8.4047994088248354E-2</v>
      </c>
    </row>
    <row r="148" spans="1:22" x14ac:dyDescent="0.25">
      <c r="A148" t="s">
        <v>234</v>
      </c>
      <c r="B148" s="14">
        <v>45554</v>
      </c>
      <c r="C148" s="14">
        <v>45579</v>
      </c>
      <c r="D148" s="7">
        <f t="shared" si="17"/>
        <v>25</v>
      </c>
      <c r="E148" s="5" t="str">
        <f t="shared" si="18"/>
        <v>Q3</v>
      </c>
      <c r="F148" t="s">
        <v>648</v>
      </c>
      <c r="G148" t="s">
        <v>655</v>
      </c>
      <c r="H148" t="s">
        <v>692</v>
      </c>
      <c r="I148" t="s">
        <v>705</v>
      </c>
      <c r="J148" t="s">
        <v>709</v>
      </c>
      <c r="K148" t="s">
        <v>723</v>
      </c>
      <c r="L148" t="s">
        <v>728</v>
      </c>
      <c r="M148">
        <f t="shared" si="19"/>
        <v>0.25652654386125889</v>
      </c>
      <c r="N148" t="s">
        <v>953</v>
      </c>
      <c r="O148" s="7">
        <v>386.96</v>
      </c>
      <c r="P148" s="7">
        <v>937.46</v>
      </c>
      <c r="Q148" s="12">
        <v>0.26600000000000001</v>
      </c>
      <c r="R148">
        <v>41</v>
      </c>
      <c r="S148">
        <f t="shared" si="13"/>
        <v>28211.92124</v>
      </c>
      <c r="T148">
        <f t="shared" si="14"/>
        <v>15865.359999999999</v>
      </c>
      <c r="U148">
        <f t="shared" si="15"/>
        <v>12346.561240000001</v>
      </c>
      <c r="V148">
        <f t="shared" si="16"/>
        <v>0.43763631462626335</v>
      </c>
    </row>
    <row r="149" spans="1:22" x14ac:dyDescent="0.25">
      <c r="A149" t="s">
        <v>261</v>
      </c>
      <c r="B149" s="14">
        <v>45338</v>
      </c>
      <c r="C149" s="14">
        <v>45355</v>
      </c>
      <c r="D149" s="7">
        <f t="shared" si="17"/>
        <v>17</v>
      </c>
      <c r="E149" s="5" t="str">
        <f t="shared" si="18"/>
        <v>Q1</v>
      </c>
      <c r="F149" t="s">
        <v>648</v>
      </c>
      <c r="G149" t="s">
        <v>653</v>
      </c>
      <c r="H149" t="s">
        <v>681</v>
      </c>
      <c r="I149" t="s">
        <v>703</v>
      </c>
      <c r="J149" t="s">
        <v>708</v>
      </c>
      <c r="K149" t="s">
        <v>726</v>
      </c>
      <c r="L149" t="s">
        <v>731</v>
      </c>
      <c r="M149">
        <f t="shared" si="19"/>
        <v>8.8876973527953818E-2</v>
      </c>
      <c r="N149" t="s">
        <v>980</v>
      </c>
      <c r="O149" s="7">
        <v>1350.98</v>
      </c>
      <c r="P149" s="7">
        <v>2210.4</v>
      </c>
      <c r="Q149" s="12">
        <v>0.26300000000000001</v>
      </c>
      <c r="R149">
        <v>6</v>
      </c>
      <c r="S149">
        <f t="shared" si="13"/>
        <v>9774.3888000000006</v>
      </c>
      <c r="T149">
        <f t="shared" si="14"/>
        <v>8105.88</v>
      </c>
      <c r="U149">
        <f t="shared" si="15"/>
        <v>1668.5088000000005</v>
      </c>
      <c r="V149">
        <f t="shared" si="16"/>
        <v>0.17070211080615091</v>
      </c>
    </row>
    <row r="150" spans="1:22" x14ac:dyDescent="0.25">
      <c r="A150" t="s">
        <v>96</v>
      </c>
      <c r="B150" s="14">
        <v>45157</v>
      </c>
      <c r="C150" s="14">
        <v>45181</v>
      </c>
      <c r="D150" s="7">
        <f t="shared" si="17"/>
        <v>24</v>
      </c>
      <c r="E150" s="5" t="str">
        <f t="shared" si="18"/>
        <v>Q3</v>
      </c>
      <c r="F150" t="s">
        <v>648</v>
      </c>
      <c r="G150" t="s">
        <v>653</v>
      </c>
      <c r="H150" t="s">
        <v>688</v>
      </c>
      <c r="I150" t="s">
        <v>706</v>
      </c>
      <c r="J150" t="s">
        <v>708</v>
      </c>
      <c r="K150" t="s">
        <v>714</v>
      </c>
      <c r="L150" t="s">
        <v>728</v>
      </c>
      <c r="M150">
        <f t="shared" si="19"/>
        <v>0.16602500570951653</v>
      </c>
      <c r="N150" t="s">
        <v>815</v>
      </c>
      <c r="O150" s="7">
        <v>1183.95</v>
      </c>
      <c r="P150" s="7">
        <v>1503.53</v>
      </c>
      <c r="Q150" s="12">
        <v>0.24099999999999999</v>
      </c>
      <c r="R150">
        <v>16</v>
      </c>
      <c r="S150">
        <f t="shared" si="13"/>
        <v>18258.868320000001</v>
      </c>
      <c r="T150">
        <f t="shared" si="14"/>
        <v>18943.2</v>
      </c>
      <c r="U150">
        <f t="shared" si="15"/>
        <v>-684.33167999999932</v>
      </c>
      <c r="V150">
        <f t="shared" si="16"/>
        <v>-3.7479413729623705E-2</v>
      </c>
    </row>
    <row r="151" spans="1:22" x14ac:dyDescent="0.25">
      <c r="A151" t="s">
        <v>560</v>
      </c>
      <c r="B151" s="14">
        <v>45889</v>
      </c>
      <c r="C151" s="14">
        <v>45895</v>
      </c>
      <c r="D151" s="7">
        <f t="shared" si="17"/>
        <v>6</v>
      </c>
      <c r="E151" s="5" t="str">
        <f t="shared" si="18"/>
        <v>Q3</v>
      </c>
      <c r="F151" t="s">
        <v>648</v>
      </c>
      <c r="G151" t="s">
        <v>660</v>
      </c>
      <c r="H151" t="s">
        <v>700</v>
      </c>
      <c r="I151" t="s">
        <v>701</v>
      </c>
      <c r="J151" t="s">
        <v>711</v>
      </c>
      <c r="K151" t="s">
        <v>724</v>
      </c>
      <c r="L151" t="s">
        <v>729</v>
      </c>
      <c r="M151">
        <f t="shared" si="19"/>
        <v>9.8135744672961212E-2</v>
      </c>
      <c r="N151" t="s">
        <v>1277</v>
      </c>
      <c r="O151" s="7">
        <v>1304.95</v>
      </c>
      <c r="P151" s="7">
        <v>1712.03</v>
      </c>
      <c r="Q151" s="12">
        <v>0.21199999999999999</v>
      </c>
      <c r="R151">
        <v>8</v>
      </c>
      <c r="S151">
        <f t="shared" si="13"/>
        <v>10792.637119999999</v>
      </c>
      <c r="T151">
        <f t="shared" si="14"/>
        <v>10439.6</v>
      </c>
      <c r="U151">
        <f t="shared" si="15"/>
        <v>353.03711999999905</v>
      </c>
      <c r="V151">
        <f t="shared" si="16"/>
        <v>3.2710922833287949E-2</v>
      </c>
    </row>
    <row r="152" spans="1:22" x14ac:dyDescent="0.25">
      <c r="A152" t="s">
        <v>573</v>
      </c>
      <c r="B152" s="14">
        <v>45362</v>
      </c>
      <c r="C152" s="14">
        <v>45380</v>
      </c>
      <c r="D152" s="7">
        <f t="shared" si="17"/>
        <v>18</v>
      </c>
      <c r="E152" s="5" t="str">
        <f t="shared" si="18"/>
        <v>Q1</v>
      </c>
      <c r="F152" t="s">
        <v>648</v>
      </c>
      <c r="G152" t="s">
        <v>660</v>
      </c>
      <c r="H152" t="s">
        <v>700</v>
      </c>
      <c r="I152" t="s">
        <v>701</v>
      </c>
      <c r="J152" t="s">
        <v>707</v>
      </c>
      <c r="K152" t="s">
        <v>724</v>
      </c>
      <c r="L152" t="s">
        <v>732</v>
      </c>
      <c r="M152">
        <f t="shared" si="19"/>
        <v>9.5654665698037517E-2</v>
      </c>
      <c r="N152" t="s">
        <v>1290</v>
      </c>
      <c r="O152" s="7">
        <v>710.98</v>
      </c>
      <c r="P152" s="7">
        <v>1481.45</v>
      </c>
      <c r="Q152" s="12">
        <v>0.21099999999999999</v>
      </c>
      <c r="R152">
        <v>9</v>
      </c>
      <c r="S152">
        <f t="shared" si="13"/>
        <v>10519.776450000001</v>
      </c>
      <c r="T152">
        <f t="shared" si="14"/>
        <v>6398.82</v>
      </c>
      <c r="U152">
        <f t="shared" si="15"/>
        <v>4120.9564500000015</v>
      </c>
      <c r="V152">
        <f t="shared" si="16"/>
        <v>0.39173422264120461</v>
      </c>
    </row>
    <row r="153" spans="1:22" x14ac:dyDescent="0.25">
      <c r="A153" t="s">
        <v>550</v>
      </c>
      <c r="B153" s="14">
        <v>45667</v>
      </c>
      <c r="C153" s="14">
        <v>45694</v>
      </c>
      <c r="D153" s="7">
        <f t="shared" si="17"/>
        <v>27</v>
      </c>
      <c r="E153" s="5" t="str">
        <f t="shared" si="18"/>
        <v>Q1</v>
      </c>
      <c r="F153" t="s">
        <v>648</v>
      </c>
      <c r="G153" t="s">
        <v>655</v>
      </c>
      <c r="H153" t="s">
        <v>672</v>
      </c>
      <c r="I153" t="s">
        <v>703</v>
      </c>
      <c r="J153" t="s">
        <v>707</v>
      </c>
      <c r="K153" t="s">
        <v>717</v>
      </c>
      <c r="L153" t="s">
        <v>731</v>
      </c>
      <c r="M153">
        <f t="shared" si="19"/>
        <v>0.13780499286165995</v>
      </c>
      <c r="N153" t="s">
        <v>1268</v>
      </c>
      <c r="O153" s="7">
        <v>725.62</v>
      </c>
      <c r="P153" s="7">
        <v>1559.19</v>
      </c>
      <c r="Q153" s="12">
        <v>0.19</v>
      </c>
      <c r="R153">
        <v>12</v>
      </c>
      <c r="S153">
        <f t="shared" si="13"/>
        <v>15155.326800000001</v>
      </c>
      <c r="T153">
        <f t="shared" si="14"/>
        <v>8707.44</v>
      </c>
      <c r="U153">
        <f t="shared" si="15"/>
        <v>6447.8868000000002</v>
      </c>
      <c r="V153">
        <f t="shared" si="16"/>
        <v>0.42545349797405885</v>
      </c>
    </row>
    <row r="154" spans="1:22" x14ac:dyDescent="0.25">
      <c r="A154" t="s">
        <v>143</v>
      </c>
      <c r="B154" s="14">
        <v>45442</v>
      </c>
      <c r="C154" s="14">
        <v>45456</v>
      </c>
      <c r="D154" s="7">
        <f t="shared" si="17"/>
        <v>14</v>
      </c>
      <c r="E154" s="5" t="str">
        <f t="shared" si="18"/>
        <v>Q2</v>
      </c>
      <c r="F154" t="s">
        <v>648</v>
      </c>
      <c r="G154" t="s">
        <v>660</v>
      </c>
      <c r="H154" t="s">
        <v>686</v>
      </c>
      <c r="I154" t="s">
        <v>705</v>
      </c>
      <c r="J154" t="s">
        <v>709</v>
      </c>
      <c r="K154" t="s">
        <v>721</v>
      </c>
      <c r="L154" t="s">
        <v>730</v>
      </c>
      <c r="M154">
        <f t="shared" si="19"/>
        <v>2.4024822667816133E-2</v>
      </c>
      <c r="N154" t="s">
        <v>862</v>
      </c>
      <c r="O154" s="7">
        <v>157.78</v>
      </c>
      <c r="P154" s="7">
        <v>361.1</v>
      </c>
      <c r="Q154" s="12">
        <v>0.187</v>
      </c>
      <c r="R154">
        <v>9</v>
      </c>
      <c r="S154">
        <f t="shared" si="13"/>
        <v>2642.1686999999997</v>
      </c>
      <c r="T154">
        <f t="shared" si="14"/>
        <v>1420.02</v>
      </c>
      <c r="U154">
        <f t="shared" si="15"/>
        <v>1222.1486999999997</v>
      </c>
      <c r="V154">
        <f t="shared" si="16"/>
        <v>0.46255513510549112</v>
      </c>
    </row>
    <row r="155" spans="1:22" x14ac:dyDescent="0.25">
      <c r="A155" t="s">
        <v>620</v>
      </c>
      <c r="B155" s="14">
        <v>45186</v>
      </c>
      <c r="C155" s="14">
        <v>45201</v>
      </c>
      <c r="D155" s="7">
        <f t="shared" si="17"/>
        <v>15</v>
      </c>
      <c r="E155" s="5" t="str">
        <f t="shared" si="18"/>
        <v>Q3</v>
      </c>
      <c r="F155" t="s">
        <v>648</v>
      </c>
      <c r="G155" t="s">
        <v>655</v>
      </c>
      <c r="H155" t="s">
        <v>692</v>
      </c>
      <c r="I155" t="s">
        <v>705</v>
      </c>
      <c r="J155" t="s">
        <v>707</v>
      </c>
      <c r="K155" t="s">
        <v>717</v>
      </c>
      <c r="L155" t="s">
        <v>731</v>
      </c>
      <c r="M155">
        <f t="shared" si="19"/>
        <v>6.4301243202355626E-2</v>
      </c>
      <c r="N155" t="s">
        <v>1337</v>
      </c>
      <c r="O155" s="7">
        <v>689.33</v>
      </c>
      <c r="P155" s="7">
        <v>668.27</v>
      </c>
      <c r="Q155" s="12">
        <v>0.186</v>
      </c>
      <c r="R155">
        <v>13</v>
      </c>
      <c r="S155">
        <f t="shared" si="13"/>
        <v>7071.6331400000008</v>
      </c>
      <c r="T155">
        <f t="shared" si="14"/>
        <v>8961.2900000000009</v>
      </c>
      <c r="U155">
        <f t="shared" si="15"/>
        <v>-1889.6568600000001</v>
      </c>
      <c r="V155">
        <f t="shared" si="16"/>
        <v>-0.26721647214861033</v>
      </c>
    </row>
    <row r="156" spans="1:22" x14ac:dyDescent="0.25">
      <c r="A156" t="s">
        <v>80</v>
      </c>
      <c r="B156" s="14">
        <v>45263</v>
      </c>
      <c r="C156" s="14">
        <v>45286</v>
      </c>
      <c r="D156" s="7">
        <f t="shared" si="17"/>
        <v>23</v>
      </c>
      <c r="E156" s="5" t="str">
        <f t="shared" si="18"/>
        <v>Q4</v>
      </c>
      <c r="F156" t="s">
        <v>648</v>
      </c>
      <c r="G156" t="s">
        <v>655</v>
      </c>
      <c r="H156" t="s">
        <v>692</v>
      </c>
      <c r="I156" t="s">
        <v>702</v>
      </c>
      <c r="J156" t="s">
        <v>707</v>
      </c>
      <c r="K156" t="s">
        <v>719</v>
      </c>
      <c r="L156" t="s">
        <v>730</v>
      </c>
      <c r="M156">
        <f t="shared" si="19"/>
        <v>0.1105077405385046</v>
      </c>
      <c r="N156" t="s">
        <v>799</v>
      </c>
      <c r="O156" s="7">
        <v>1303.1099999999999</v>
      </c>
      <c r="P156" s="7">
        <v>1145.67</v>
      </c>
      <c r="Q156" s="12">
        <v>0.184</v>
      </c>
      <c r="R156">
        <v>13</v>
      </c>
      <c r="S156">
        <f t="shared" si="13"/>
        <v>12153.267360000002</v>
      </c>
      <c r="T156">
        <f t="shared" si="14"/>
        <v>16940.43</v>
      </c>
      <c r="U156">
        <f t="shared" si="15"/>
        <v>-4787.1626399999986</v>
      </c>
      <c r="V156">
        <f t="shared" si="16"/>
        <v>-0.39389922875851208</v>
      </c>
    </row>
    <row r="157" spans="1:22" x14ac:dyDescent="0.25">
      <c r="A157" t="s">
        <v>322</v>
      </c>
      <c r="B157" s="14">
        <v>45795</v>
      </c>
      <c r="C157" s="14">
        <v>45817</v>
      </c>
      <c r="D157" s="7">
        <f t="shared" si="17"/>
        <v>22</v>
      </c>
      <c r="E157" s="5" t="str">
        <f t="shared" si="18"/>
        <v>Q2</v>
      </c>
      <c r="F157" t="s">
        <v>648</v>
      </c>
      <c r="G157" t="s">
        <v>660</v>
      </c>
      <c r="H157" t="s">
        <v>700</v>
      </c>
      <c r="I157" t="s">
        <v>704</v>
      </c>
      <c r="K157" t="s">
        <v>722</v>
      </c>
      <c r="L157" t="s">
        <v>729</v>
      </c>
      <c r="M157">
        <f t="shared" si="19"/>
        <v>3.3137237791269245E-2</v>
      </c>
      <c r="N157" t="s">
        <v>1041</v>
      </c>
      <c r="O157" s="7">
        <v>382.96</v>
      </c>
      <c r="P157" s="7">
        <v>552.84</v>
      </c>
      <c r="Q157" s="12">
        <v>0.17599999999999999</v>
      </c>
      <c r="R157">
        <v>8</v>
      </c>
      <c r="S157">
        <f t="shared" si="13"/>
        <v>3644.3212800000006</v>
      </c>
      <c r="T157">
        <f t="shared" si="14"/>
        <v>3063.68</v>
      </c>
      <c r="U157">
        <f t="shared" si="15"/>
        <v>580.64128000000073</v>
      </c>
      <c r="V157">
        <f t="shared" si="16"/>
        <v>0.15932768693763483</v>
      </c>
    </row>
    <row r="158" spans="1:22" x14ac:dyDescent="0.25">
      <c r="A158" t="s">
        <v>40</v>
      </c>
      <c r="B158" s="14">
        <v>45473</v>
      </c>
      <c r="C158" s="14">
        <v>45487</v>
      </c>
      <c r="D158" s="7">
        <f t="shared" si="17"/>
        <v>14</v>
      </c>
      <c r="E158" s="5" t="str">
        <f t="shared" si="18"/>
        <v>Q2</v>
      </c>
      <c r="F158" t="s">
        <v>648</v>
      </c>
      <c r="G158" t="s">
        <v>655</v>
      </c>
      <c r="H158" t="s">
        <v>672</v>
      </c>
      <c r="I158" t="s">
        <v>702</v>
      </c>
      <c r="J158" t="s">
        <v>708</v>
      </c>
      <c r="K158" t="s">
        <v>712</v>
      </c>
      <c r="L158" t="s">
        <v>733</v>
      </c>
      <c r="M158">
        <f t="shared" si="19"/>
        <v>7.8164712308120915E-2</v>
      </c>
      <c r="N158" t="s">
        <v>759</v>
      </c>
      <c r="O158" s="7">
        <v>1491.85</v>
      </c>
      <c r="P158" s="7">
        <v>2583.02</v>
      </c>
      <c r="Q158" s="12">
        <v>0.16800000000000001</v>
      </c>
      <c r="R158">
        <v>4</v>
      </c>
      <c r="S158">
        <f t="shared" si="13"/>
        <v>8596.2905599999995</v>
      </c>
      <c r="T158">
        <f t="shared" si="14"/>
        <v>5967.4</v>
      </c>
      <c r="U158">
        <f t="shared" si="15"/>
        <v>2628.8905599999998</v>
      </c>
      <c r="V158">
        <f t="shared" si="16"/>
        <v>0.30581685689321325</v>
      </c>
    </row>
    <row r="159" spans="1:22" x14ac:dyDescent="0.25">
      <c r="A159" t="s">
        <v>157</v>
      </c>
      <c r="B159" s="14">
        <v>45133</v>
      </c>
      <c r="C159" s="14">
        <v>45163</v>
      </c>
      <c r="D159" s="7">
        <f t="shared" si="17"/>
        <v>30</v>
      </c>
      <c r="E159" s="5" t="str">
        <f t="shared" si="18"/>
        <v>Q3</v>
      </c>
      <c r="F159" t="s">
        <v>648</v>
      </c>
      <c r="G159" t="s">
        <v>660</v>
      </c>
      <c r="H159" t="s">
        <v>700</v>
      </c>
      <c r="I159" t="s">
        <v>704</v>
      </c>
      <c r="J159" t="s">
        <v>708</v>
      </c>
      <c r="K159" t="s">
        <v>724</v>
      </c>
      <c r="L159" t="s">
        <v>733</v>
      </c>
      <c r="M159">
        <f t="shared" si="19"/>
        <v>0.29175634776439385</v>
      </c>
      <c r="N159" t="s">
        <v>876</v>
      </c>
      <c r="O159" s="7">
        <v>1261.48</v>
      </c>
      <c r="P159" s="7">
        <v>1643.18</v>
      </c>
      <c r="Q159" s="12">
        <v>0.151</v>
      </c>
      <c r="R159">
        <v>23</v>
      </c>
      <c r="S159">
        <f t="shared" si="13"/>
        <v>32086.37586</v>
      </c>
      <c r="T159">
        <f t="shared" si="14"/>
        <v>29014.04</v>
      </c>
      <c r="U159">
        <f t="shared" si="15"/>
        <v>3072.3358599999992</v>
      </c>
      <c r="V159">
        <f t="shared" si="16"/>
        <v>9.5752037357079045E-2</v>
      </c>
    </row>
    <row r="160" spans="1:22" x14ac:dyDescent="0.25">
      <c r="A160" t="s">
        <v>54</v>
      </c>
      <c r="B160" s="14">
        <v>45094</v>
      </c>
      <c r="C160" s="14">
        <v>45101</v>
      </c>
      <c r="D160" s="7">
        <f t="shared" si="17"/>
        <v>7</v>
      </c>
      <c r="E160" s="5" t="str">
        <f t="shared" si="18"/>
        <v>Q2</v>
      </c>
      <c r="F160" t="s">
        <v>648</v>
      </c>
      <c r="G160" t="s">
        <v>660</v>
      </c>
      <c r="H160" t="s">
        <v>686</v>
      </c>
      <c r="I160" t="s">
        <v>701</v>
      </c>
      <c r="J160" t="s">
        <v>707</v>
      </c>
      <c r="K160" t="s">
        <v>714</v>
      </c>
      <c r="L160" t="s">
        <v>728</v>
      </c>
      <c r="M160">
        <f t="shared" si="19"/>
        <v>3.2390507232593409E-2</v>
      </c>
      <c r="N160" t="s">
        <v>773</v>
      </c>
      <c r="O160" s="7">
        <v>313.99</v>
      </c>
      <c r="P160" s="7">
        <v>454.42</v>
      </c>
      <c r="Q160" s="12">
        <v>0.129</v>
      </c>
      <c r="R160">
        <v>9</v>
      </c>
      <c r="S160">
        <f t="shared" si="13"/>
        <v>3562.1983800000003</v>
      </c>
      <c r="T160">
        <f t="shared" si="14"/>
        <v>2825.91</v>
      </c>
      <c r="U160">
        <f t="shared" si="15"/>
        <v>736.28838000000042</v>
      </c>
      <c r="V160">
        <f t="shared" si="16"/>
        <v>0.20669493988147858</v>
      </c>
    </row>
    <row r="161" spans="1:22" x14ac:dyDescent="0.25">
      <c r="A161" t="s">
        <v>203</v>
      </c>
      <c r="B161" s="14">
        <v>45126</v>
      </c>
      <c r="C161" s="14">
        <v>45138</v>
      </c>
      <c r="D161" s="7">
        <f t="shared" si="17"/>
        <v>12</v>
      </c>
      <c r="E161" s="5" t="str">
        <f t="shared" si="18"/>
        <v>Q3</v>
      </c>
      <c r="F161" t="s">
        <v>648</v>
      </c>
      <c r="G161" t="s">
        <v>655</v>
      </c>
      <c r="H161" t="s">
        <v>692</v>
      </c>
      <c r="I161" t="s">
        <v>701</v>
      </c>
      <c r="J161" t="s">
        <v>708</v>
      </c>
      <c r="K161" t="s">
        <v>712</v>
      </c>
      <c r="L161" t="s">
        <v>732</v>
      </c>
      <c r="M161">
        <f t="shared" si="19"/>
        <v>0.25525599122085318</v>
      </c>
      <c r="N161" t="s">
        <v>922</v>
      </c>
      <c r="O161" s="7">
        <v>1334.64</v>
      </c>
      <c r="P161" s="7">
        <v>2273.42</v>
      </c>
      <c r="Q161" s="12">
        <v>0.11799999999999999</v>
      </c>
      <c r="R161">
        <v>14</v>
      </c>
      <c r="S161">
        <f t="shared" si="13"/>
        <v>28072.190160000002</v>
      </c>
      <c r="T161">
        <f t="shared" si="14"/>
        <v>18684.960000000003</v>
      </c>
      <c r="U161">
        <f t="shared" si="15"/>
        <v>9387.2301599999992</v>
      </c>
      <c r="V161">
        <f t="shared" si="16"/>
        <v>0.33439607335575267</v>
      </c>
    </row>
    <row r="162" spans="1:22" x14ac:dyDescent="0.25">
      <c r="A162" t="s">
        <v>510</v>
      </c>
      <c r="B162" s="14">
        <v>45508</v>
      </c>
      <c r="C162" s="14">
        <v>45521</v>
      </c>
      <c r="D162" s="7">
        <f t="shared" si="17"/>
        <v>13</v>
      </c>
      <c r="E162" s="5" t="str">
        <f t="shared" si="18"/>
        <v>Q3</v>
      </c>
      <c r="F162" t="s">
        <v>648</v>
      </c>
      <c r="G162" t="s">
        <v>660</v>
      </c>
      <c r="H162" t="s">
        <v>697</v>
      </c>
      <c r="I162" t="s">
        <v>704</v>
      </c>
      <c r="J162" t="s">
        <v>709</v>
      </c>
      <c r="K162" t="s">
        <v>726</v>
      </c>
      <c r="L162" t="s">
        <v>732</v>
      </c>
      <c r="M162">
        <f t="shared" si="19"/>
        <v>4.2581342698291155E-2</v>
      </c>
      <c r="N162" t="s">
        <v>1228</v>
      </c>
      <c r="O162" s="7">
        <v>352.79</v>
      </c>
      <c r="P162" s="7">
        <v>754.22</v>
      </c>
      <c r="Q162" s="12">
        <v>0.113</v>
      </c>
      <c r="R162">
        <v>7</v>
      </c>
      <c r="S162">
        <f t="shared" si="13"/>
        <v>4682.9519799999998</v>
      </c>
      <c r="T162">
        <f t="shared" si="14"/>
        <v>2469.5300000000002</v>
      </c>
      <c r="U162">
        <f t="shared" si="15"/>
        <v>2213.4219799999996</v>
      </c>
      <c r="V162">
        <f t="shared" si="16"/>
        <v>0.47265528014233443</v>
      </c>
    </row>
    <row r="163" spans="1:22" x14ac:dyDescent="0.25">
      <c r="A163" t="s">
        <v>107</v>
      </c>
      <c r="B163" s="14">
        <v>45101</v>
      </c>
      <c r="C163" s="15">
        <v>45100</v>
      </c>
      <c r="D163" s="7">
        <f t="shared" si="17"/>
        <v>-1</v>
      </c>
      <c r="E163" s="5" t="str">
        <f t="shared" si="18"/>
        <v>Q2</v>
      </c>
      <c r="F163" t="s">
        <v>648</v>
      </c>
      <c r="G163" t="s">
        <v>655</v>
      </c>
      <c r="H163" t="s">
        <v>692</v>
      </c>
      <c r="I163" t="s">
        <v>703</v>
      </c>
      <c r="J163" t="s">
        <v>711</v>
      </c>
      <c r="K163" t="s">
        <v>718</v>
      </c>
      <c r="L163" t="s">
        <v>728</v>
      </c>
      <c r="M163">
        <f t="shared" si="19"/>
        <v>9.2396607552349089E-2</v>
      </c>
      <c r="N163" t="s">
        <v>826</v>
      </c>
      <c r="O163" s="7">
        <v>804.01</v>
      </c>
      <c r="P163" s="7">
        <v>1405.07</v>
      </c>
      <c r="Q163" s="12">
        <v>9.6000000000000002E-2</v>
      </c>
      <c r="R163">
        <v>8</v>
      </c>
      <c r="S163">
        <f t="shared" si="13"/>
        <v>10161.46624</v>
      </c>
      <c r="T163">
        <f t="shared" si="14"/>
        <v>6432.08</v>
      </c>
      <c r="U163">
        <f t="shared" si="15"/>
        <v>3729.3862399999998</v>
      </c>
      <c r="V163">
        <f t="shared" si="16"/>
        <v>0.36701260939287439</v>
      </c>
    </row>
    <row r="164" spans="1:22" x14ac:dyDescent="0.25">
      <c r="A164" t="s">
        <v>327</v>
      </c>
      <c r="B164" s="14">
        <v>45101</v>
      </c>
      <c r="C164" s="15">
        <v>45099</v>
      </c>
      <c r="D164" s="7">
        <f t="shared" si="17"/>
        <v>-2</v>
      </c>
      <c r="E164" s="5" t="str">
        <f t="shared" si="18"/>
        <v>Q2</v>
      </c>
      <c r="F164" t="s">
        <v>648</v>
      </c>
      <c r="G164" t="s">
        <v>653</v>
      </c>
      <c r="H164" t="s">
        <v>667</v>
      </c>
      <c r="I164" t="s">
        <v>703</v>
      </c>
      <c r="J164" t="s">
        <v>708</v>
      </c>
      <c r="K164" t="s">
        <v>724</v>
      </c>
      <c r="L164" t="s">
        <v>733</v>
      </c>
      <c r="M164">
        <f t="shared" si="19"/>
        <v>0.10259818130079834</v>
      </c>
      <c r="N164" t="s">
        <v>1046</v>
      </c>
      <c r="O164" s="7">
        <v>471.42</v>
      </c>
      <c r="P164" s="7">
        <v>824.81</v>
      </c>
      <c r="Q164" s="12">
        <v>8.7999999999999995E-2</v>
      </c>
      <c r="R164">
        <v>15</v>
      </c>
      <c r="S164">
        <f t="shared" si="13"/>
        <v>11283.400799999999</v>
      </c>
      <c r="T164">
        <f t="shared" si="14"/>
        <v>7071.3</v>
      </c>
      <c r="U164">
        <f t="shared" si="15"/>
        <v>4212.1007999999993</v>
      </c>
      <c r="V164">
        <f t="shared" si="16"/>
        <v>0.37330064531608231</v>
      </c>
    </row>
    <row r="165" spans="1:22" x14ac:dyDescent="0.25">
      <c r="A165" t="s">
        <v>589</v>
      </c>
      <c r="B165" s="14">
        <v>45279</v>
      </c>
      <c r="C165" s="14">
        <v>45292</v>
      </c>
      <c r="D165" s="7">
        <f t="shared" si="17"/>
        <v>13</v>
      </c>
      <c r="E165" s="5" t="str">
        <f t="shared" si="18"/>
        <v>Q4</v>
      </c>
      <c r="F165" t="s">
        <v>648</v>
      </c>
      <c r="G165" t="s">
        <v>653</v>
      </c>
      <c r="H165" t="s">
        <v>667</v>
      </c>
      <c r="I165" t="s">
        <v>706</v>
      </c>
      <c r="J165" t="s">
        <v>711</v>
      </c>
      <c r="K165" t="s">
        <v>723</v>
      </c>
      <c r="L165" t="s">
        <v>732</v>
      </c>
      <c r="M165">
        <f t="shared" si="19"/>
        <v>0.1315457008025181</v>
      </c>
      <c r="N165" t="s">
        <v>1306</v>
      </c>
      <c r="O165" s="7">
        <v>856.1</v>
      </c>
      <c r="P165" s="7">
        <v>901.48</v>
      </c>
      <c r="Q165" s="12">
        <v>5.6000000000000001E-2</v>
      </c>
      <c r="R165">
        <v>17</v>
      </c>
      <c r="S165">
        <f t="shared" si="13"/>
        <v>14466.95104</v>
      </c>
      <c r="T165">
        <f t="shared" si="14"/>
        <v>14553.7</v>
      </c>
      <c r="U165">
        <f t="shared" si="15"/>
        <v>-86.748960000000807</v>
      </c>
      <c r="V165">
        <f t="shared" si="16"/>
        <v>-5.9963540182134192E-3</v>
      </c>
    </row>
    <row r="166" spans="1:22" x14ac:dyDescent="0.25">
      <c r="A166" t="s">
        <v>611</v>
      </c>
      <c r="B166" s="14">
        <v>45705</v>
      </c>
      <c r="C166" s="15">
        <v>45703</v>
      </c>
      <c r="D166" s="7">
        <f t="shared" si="17"/>
        <v>-2</v>
      </c>
      <c r="E166" s="5" t="str">
        <f t="shared" si="18"/>
        <v>Q1</v>
      </c>
      <c r="F166" t="s">
        <v>648</v>
      </c>
      <c r="G166" t="s">
        <v>653</v>
      </c>
      <c r="H166" t="s">
        <v>667</v>
      </c>
      <c r="I166" t="s">
        <v>705</v>
      </c>
      <c r="J166" t="s">
        <v>710</v>
      </c>
      <c r="K166" t="s">
        <v>726</v>
      </c>
      <c r="L166" t="s">
        <v>727</v>
      </c>
      <c r="M166">
        <f t="shared" si="19"/>
        <v>7.3911337122708504E-2</v>
      </c>
      <c r="N166" t="s">
        <v>1328</v>
      </c>
      <c r="O166" s="7">
        <v>1133.47</v>
      </c>
      <c r="P166" s="7">
        <v>1698.75</v>
      </c>
      <c r="Q166" s="12">
        <v>4.2999999999999997E-2</v>
      </c>
      <c r="R166">
        <v>5</v>
      </c>
      <c r="S166">
        <f t="shared" si="13"/>
        <v>8128.5187499999993</v>
      </c>
      <c r="T166">
        <f t="shared" si="14"/>
        <v>5667.35</v>
      </c>
      <c r="U166">
        <f t="shared" si="15"/>
        <v>2461.1687499999989</v>
      </c>
      <c r="V166">
        <f t="shared" si="16"/>
        <v>0.30278194904821976</v>
      </c>
    </row>
    <row r="167" spans="1:22" x14ac:dyDescent="0.25">
      <c r="A167" t="s">
        <v>490</v>
      </c>
      <c r="B167" s="14">
        <v>45069</v>
      </c>
      <c r="C167" s="14">
        <v>45071</v>
      </c>
      <c r="D167" s="7">
        <f t="shared" si="17"/>
        <v>2</v>
      </c>
      <c r="E167" s="5" t="str">
        <f t="shared" si="18"/>
        <v>Q2</v>
      </c>
      <c r="F167" t="s">
        <v>648</v>
      </c>
      <c r="G167" t="s">
        <v>655</v>
      </c>
      <c r="H167" t="s">
        <v>692</v>
      </c>
      <c r="I167" t="s">
        <v>706</v>
      </c>
      <c r="J167" t="s">
        <v>710</v>
      </c>
      <c r="K167" t="s">
        <v>724</v>
      </c>
      <c r="L167" t="s">
        <v>728</v>
      </c>
      <c r="M167">
        <f t="shared" si="19"/>
        <v>0.24727212927873618</v>
      </c>
      <c r="N167" t="s">
        <v>1208</v>
      </c>
      <c r="O167" s="7">
        <v>690.49</v>
      </c>
      <c r="P167" s="7">
        <v>1290.29</v>
      </c>
      <c r="Q167" s="12">
        <v>4.2000000000000003E-2</v>
      </c>
      <c r="R167">
        <v>22</v>
      </c>
      <c r="S167">
        <f t="shared" si="13"/>
        <v>27194.152039999997</v>
      </c>
      <c r="T167">
        <f t="shared" si="14"/>
        <v>15190.78</v>
      </c>
      <c r="U167">
        <f t="shared" si="15"/>
        <v>12003.372039999997</v>
      </c>
      <c r="V167">
        <f t="shared" si="16"/>
        <v>0.44139534199647718</v>
      </c>
    </row>
    <row r="168" spans="1:22" x14ac:dyDescent="0.25">
      <c r="A168" t="s">
        <v>204</v>
      </c>
      <c r="B168" s="14">
        <v>45431</v>
      </c>
      <c r="C168" s="14">
        <v>45451</v>
      </c>
      <c r="D168" s="7">
        <f t="shared" si="17"/>
        <v>20</v>
      </c>
      <c r="E168" s="5" t="str">
        <f t="shared" si="18"/>
        <v>Q2</v>
      </c>
      <c r="F168" t="s">
        <v>648</v>
      </c>
      <c r="G168" t="s">
        <v>655</v>
      </c>
      <c r="H168" t="s">
        <v>672</v>
      </c>
      <c r="I168" t="s">
        <v>705</v>
      </c>
      <c r="J168" t="s">
        <v>709</v>
      </c>
      <c r="K168" t="s">
        <v>718</v>
      </c>
      <c r="L168" t="s">
        <v>732</v>
      </c>
      <c r="M168">
        <f t="shared" si="19"/>
        <v>7.8113963701765585E-2</v>
      </c>
      <c r="N168" t="s">
        <v>923</v>
      </c>
      <c r="O168" s="7">
        <v>1075.9000000000001</v>
      </c>
      <c r="P168" s="7">
        <v>1242.1500000000001</v>
      </c>
      <c r="Q168" s="12">
        <v>1.2E-2</v>
      </c>
      <c r="R168">
        <v>7</v>
      </c>
      <c r="S168">
        <f t="shared" si="13"/>
        <v>8590.7094000000016</v>
      </c>
      <c r="T168">
        <f t="shared" si="14"/>
        <v>7531.3000000000011</v>
      </c>
      <c r="U168">
        <f t="shared" si="15"/>
        <v>1059.4094000000005</v>
      </c>
      <c r="V168">
        <f t="shared" si="16"/>
        <v>0.12332036280961853</v>
      </c>
    </row>
    <row r="169" spans="1:22" x14ac:dyDescent="0.25">
      <c r="A169" t="s">
        <v>38</v>
      </c>
      <c r="B169" s="14">
        <v>45430</v>
      </c>
      <c r="C169" s="14">
        <v>45435</v>
      </c>
      <c r="D169" s="7">
        <f t="shared" si="17"/>
        <v>5</v>
      </c>
      <c r="E169" s="5" t="str">
        <f t="shared" si="18"/>
        <v>Q2</v>
      </c>
      <c r="F169" t="s">
        <v>648</v>
      </c>
      <c r="G169" t="s">
        <v>660</v>
      </c>
      <c r="H169" t="s">
        <v>677</v>
      </c>
      <c r="I169" t="s">
        <v>706</v>
      </c>
      <c r="J169" t="s">
        <v>711</v>
      </c>
      <c r="K169" t="s">
        <v>722</v>
      </c>
      <c r="L169" t="s">
        <v>731</v>
      </c>
      <c r="M169">
        <f t="shared" si="19"/>
        <v>0.18390477460304372</v>
      </c>
      <c r="N169" t="s">
        <v>757</v>
      </c>
      <c r="O169" s="7">
        <v>1274.5899999999999</v>
      </c>
      <c r="P169" s="7">
        <v>2553.69</v>
      </c>
      <c r="Q169" s="12">
        <v>0.01</v>
      </c>
      <c r="R169">
        <v>8</v>
      </c>
      <c r="S169">
        <f t="shared" si="13"/>
        <v>20225.2248</v>
      </c>
      <c r="T169">
        <f t="shared" si="14"/>
        <v>10196.719999999999</v>
      </c>
      <c r="U169">
        <f t="shared" si="15"/>
        <v>10028.504800000001</v>
      </c>
      <c r="V169">
        <f t="shared" si="16"/>
        <v>0.49584145042481803</v>
      </c>
    </row>
    <row r="170" spans="1:22" x14ac:dyDescent="0.25">
      <c r="A170" t="s">
        <v>29</v>
      </c>
      <c r="B170" s="14">
        <v>45901</v>
      </c>
      <c r="C170" s="14">
        <v>45930</v>
      </c>
      <c r="D170" s="7">
        <f t="shared" si="17"/>
        <v>29</v>
      </c>
      <c r="E170" s="5" t="str">
        <f t="shared" si="18"/>
        <v>Q3</v>
      </c>
      <c r="F170" t="s">
        <v>648</v>
      </c>
      <c r="G170" t="s">
        <v>655</v>
      </c>
      <c r="H170" t="s">
        <v>672</v>
      </c>
      <c r="I170" t="s">
        <v>702</v>
      </c>
      <c r="J170" t="s">
        <v>711</v>
      </c>
      <c r="K170" t="s">
        <v>723</v>
      </c>
      <c r="L170" t="s">
        <v>733</v>
      </c>
      <c r="M170">
        <f t="shared" si="19"/>
        <v>6.8913195068790123E-2</v>
      </c>
      <c r="N170" t="s">
        <v>748</v>
      </c>
      <c r="O170" s="7">
        <v>780.59</v>
      </c>
      <c r="P170" s="7">
        <v>631.57000000000005</v>
      </c>
      <c r="Q170" s="12">
        <v>0</v>
      </c>
      <c r="R170">
        <v>12</v>
      </c>
      <c r="S170">
        <f t="shared" si="13"/>
        <v>7578.84</v>
      </c>
      <c r="T170">
        <f t="shared" si="14"/>
        <v>9367.08</v>
      </c>
      <c r="U170">
        <f t="shared" si="15"/>
        <v>-1788.2399999999998</v>
      </c>
      <c r="V170">
        <f t="shared" si="16"/>
        <v>-0.23595167598207639</v>
      </c>
    </row>
    <row r="171" spans="1:22" x14ac:dyDescent="0.25">
      <c r="A171" t="s">
        <v>389</v>
      </c>
      <c r="B171" s="14">
        <v>45429</v>
      </c>
      <c r="C171" s="14">
        <v>45439</v>
      </c>
      <c r="D171" s="7">
        <f t="shared" si="17"/>
        <v>10</v>
      </c>
      <c r="E171" s="5" t="str">
        <f t="shared" si="18"/>
        <v>Q2</v>
      </c>
      <c r="F171" t="s">
        <v>648</v>
      </c>
      <c r="G171" t="s">
        <v>660</v>
      </c>
      <c r="H171" t="s">
        <v>697</v>
      </c>
      <c r="I171" t="s">
        <v>703</v>
      </c>
      <c r="J171" t="s">
        <v>711</v>
      </c>
      <c r="K171" t="s">
        <v>712</v>
      </c>
      <c r="L171" t="s">
        <v>730</v>
      </c>
      <c r="M171">
        <f t="shared" si="19"/>
        <v>0.28192581998405991</v>
      </c>
      <c r="N171" t="s">
        <v>1108</v>
      </c>
      <c r="O171" s="7">
        <v>1484.23</v>
      </c>
      <c r="P171" s="7">
        <v>3472.81</v>
      </c>
      <c r="Q171" s="12">
        <v>0.25600000000000001</v>
      </c>
      <c r="R171">
        <v>12</v>
      </c>
      <c r="S171">
        <f t="shared" si="13"/>
        <v>31005.24768</v>
      </c>
      <c r="T171">
        <f t="shared" si="14"/>
        <v>17810.760000000002</v>
      </c>
      <c r="U171">
        <f t="shared" si="15"/>
        <v>13194.487679999998</v>
      </c>
      <c r="V171">
        <f t="shared" si="16"/>
        <v>0.42555659661803413</v>
      </c>
    </row>
    <row r="172" spans="1:22" x14ac:dyDescent="0.25">
      <c r="A172" t="s">
        <v>267</v>
      </c>
      <c r="B172" s="14">
        <v>45366</v>
      </c>
      <c r="C172" s="14">
        <v>45391</v>
      </c>
      <c r="D172" s="7">
        <f t="shared" si="17"/>
        <v>25</v>
      </c>
      <c r="E172" s="5" t="str">
        <f t="shared" si="18"/>
        <v>Q1</v>
      </c>
      <c r="F172" t="s">
        <v>648</v>
      </c>
      <c r="G172" t="s">
        <v>653</v>
      </c>
      <c r="H172" t="s">
        <v>688</v>
      </c>
      <c r="I172" t="s">
        <v>704</v>
      </c>
      <c r="J172" t="s">
        <v>707</v>
      </c>
      <c r="K172" t="s">
        <v>721</v>
      </c>
      <c r="L172" t="s">
        <v>732</v>
      </c>
      <c r="M172">
        <f t="shared" si="19"/>
        <v>0.1608489479250593</v>
      </c>
      <c r="N172" t="s">
        <v>986</v>
      </c>
      <c r="O172" s="7">
        <v>648.64</v>
      </c>
      <c r="P172" s="7">
        <v>815.19</v>
      </c>
      <c r="Q172" s="12">
        <v>0.22500000000000001</v>
      </c>
      <c r="R172">
        <v>28</v>
      </c>
      <c r="S172">
        <f t="shared" si="13"/>
        <v>17689.623</v>
      </c>
      <c r="T172">
        <f t="shared" si="14"/>
        <v>18161.919999999998</v>
      </c>
      <c r="U172">
        <f t="shared" si="15"/>
        <v>-472.29699999999866</v>
      </c>
      <c r="V172">
        <f t="shared" si="16"/>
        <v>-2.6699099240272032E-2</v>
      </c>
    </row>
    <row r="173" spans="1:22" x14ac:dyDescent="0.25">
      <c r="A173" t="s">
        <v>514</v>
      </c>
      <c r="B173" s="14">
        <v>45908</v>
      </c>
      <c r="C173" s="14">
        <v>45935</v>
      </c>
      <c r="D173" s="7">
        <f t="shared" si="17"/>
        <v>27</v>
      </c>
      <c r="E173" s="5" t="str">
        <f t="shared" si="18"/>
        <v>Q3</v>
      </c>
      <c r="F173" t="s">
        <v>648</v>
      </c>
      <c r="G173" t="s">
        <v>655</v>
      </c>
      <c r="H173" t="s">
        <v>692</v>
      </c>
      <c r="I173" t="s">
        <v>702</v>
      </c>
      <c r="J173" t="s">
        <v>711</v>
      </c>
      <c r="K173" t="s">
        <v>712</v>
      </c>
      <c r="L173" t="s">
        <v>732</v>
      </c>
      <c r="M173">
        <f t="shared" si="19"/>
        <v>0.1507097174295815</v>
      </c>
      <c r="N173" t="s">
        <v>1232</v>
      </c>
      <c r="O173" s="7">
        <v>660.78</v>
      </c>
      <c r="P173" s="7">
        <v>1630.39</v>
      </c>
      <c r="Q173" s="12">
        <v>0.218</v>
      </c>
      <c r="R173">
        <v>13</v>
      </c>
      <c r="S173">
        <f t="shared" si="13"/>
        <v>16574.544740000001</v>
      </c>
      <c r="T173">
        <f t="shared" si="14"/>
        <v>8590.14</v>
      </c>
      <c r="U173">
        <f t="shared" si="15"/>
        <v>7984.4047400000018</v>
      </c>
      <c r="V173">
        <f t="shared" si="16"/>
        <v>0.48172694123724097</v>
      </c>
    </row>
    <row r="174" spans="1:22" x14ac:dyDescent="0.25">
      <c r="A174" t="s">
        <v>338</v>
      </c>
      <c r="B174" s="14">
        <v>45340</v>
      </c>
      <c r="C174" s="14">
        <v>45362</v>
      </c>
      <c r="D174" s="7">
        <f t="shared" si="17"/>
        <v>22</v>
      </c>
      <c r="E174" s="5" t="str">
        <f t="shared" si="18"/>
        <v>Q1</v>
      </c>
      <c r="F174" t="s">
        <v>648</v>
      </c>
      <c r="G174" t="s">
        <v>655</v>
      </c>
      <c r="H174" t="s">
        <v>670</v>
      </c>
      <c r="I174" t="s">
        <v>704</v>
      </c>
      <c r="J174" t="s">
        <v>707</v>
      </c>
      <c r="K174" t="s">
        <v>720</v>
      </c>
      <c r="L174" t="s">
        <v>727</v>
      </c>
      <c r="M174">
        <f t="shared" si="19"/>
        <v>6.3944757056650058E-3</v>
      </c>
      <c r="N174" t="s">
        <v>1057</v>
      </c>
      <c r="O174" s="7">
        <v>80.48</v>
      </c>
      <c r="P174" s="7">
        <v>65.650000000000006</v>
      </c>
      <c r="Q174" s="12">
        <v>0.17599999999999999</v>
      </c>
      <c r="R174">
        <v>13</v>
      </c>
      <c r="S174">
        <f t="shared" si="13"/>
        <v>703.2428000000001</v>
      </c>
      <c r="T174">
        <f t="shared" si="14"/>
        <v>1046.24</v>
      </c>
      <c r="U174">
        <f t="shared" si="15"/>
        <v>-342.99719999999991</v>
      </c>
      <c r="V174">
        <f t="shared" si="16"/>
        <v>-0.48773652570634191</v>
      </c>
    </row>
    <row r="175" spans="1:22" x14ac:dyDescent="0.25">
      <c r="A175" t="s">
        <v>252</v>
      </c>
      <c r="B175" s="14">
        <v>45855</v>
      </c>
      <c r="C175" s="14">
        <v>45861</v>
      </c>
      <c r="D175" s="7">
        <f t="shared" si="17"/>
        <v>6</v>
      </c>
      <c r="E175" s="5" t="str">
        <f t="shared" si="18"/>
        <v>Q3</v>
      </c>
      <c r="F175" t="s">
        <v>648</v>
      </c>
      <c r="G175" t="s">
        <v>653</v>
      </c>
      <c r="H175" t="s">
        <v>688</v>
      </c>
      <c r="I175" t="s">
        <v>704</v>
      </c>
      <c r="J175" t="s">
        <v>711</v>
      </c>
      <c r="K175" t="s">
        <v>722</v>
      </c>
      <c r="L175" t="s">
        <v>727</v>
      </c>
      <c r="M175">
        <f t="shared" si="19"/>
        <v>1.2664313126547089</v>
      </c>
      <c r="N175" t="s">
        <v>971</v>
      </c>
      <c r="O175" s="7">
        <v>1364.89</v>
      </c>
      <c r="P175" s="7">
        <v>2757.54</v>
      </c>
      <c r="Q175" s="12">
        <v>0.17199999999999999</v>
      </c>
      <c r="R175">
        <v>61</v>
      </c>
      <c r="S175">
        <f t="shared" si="13"/>
        <v>139277.83032000001</v>
      </c>
      <c r="T175">
        <f t="shared" si="14"/>
        <v>83258.290000000008</v>
      </c>
      <c r="U175">
        <f t="shared" si="15"/>
        <v>56019.54032</v>
      </c>
      <c r="V175">
        <f t="shared" si="16"/>
        <v>0.4022143379983118</v>
      </c>
    </row>
    <row r="176" spans="1:22" x14ac:dyDescent="0.25">
      <c r="A176" t="s">
        <v>210</v>
      </c>
      <c r="B176" s="14">
        <v>45557</v>
      </c>
      <c r="C176" s="14">
        <v>45566</v>
      </c>
      <c r="D176" s="7">
        <f t="shared" si="17"/>
        <v>9</v>
      </c>
      <c r="E176" s="5" t="str">
        <f t="shared" si="18"/>
        <v>Q3</v>
      </c>
      <c r="F176" t="s">
        <v>648</v>
      </c>
      <c r="G176" t="s">
        <v>655</v>
      </c>
      <c r="H176" t="s">
        <v>670</v>
      </c>
      <c r="I176" t="s">
        <v>703</v>
      </c>
      <c r="J176" t="s">
        <v>711</v>
      </c>
      <c r="K176" t="s">
        <v>723</v>
      </c>
      <c r="L176" t="s">
        <v>732</v>
      </c>
      <c r="M176">
        <f t="shared" si="19"/>
        <v>0.28362072101455549</v>
      </c>
      <c r="N176" t="s">
        <v>929</v>
      </c>
      <c r="O176" s="7">
        <v>1378.8</v>
      </c>
      <c r="P176" s="7">
        <v>1952.04</v>
      </c>
      <c r="Q176" s="12">
        <v>0.159</v>
      </c>
      <c r="R176">
        <v>19</v>
      </c>
      <c r="S176">
        <f t="shared" si="13"/>
        <v>31191.64716</v>
      </c>
      <c r="T176">
        <f t="shared" si="14"/>
        <v>26197.200000000001</v>
      </c>
      <c r="U176">
        <f t="shared" si="15"/>
        <v>4994.4471599999997</v>
      </c>
      <c r="V176">
        <f t="shared" si="16"/>
        <v>0.16012130216723058</v>
      </c>
    </row>
    <row r="177" spans="1:22" x14ac:dyDescent="0.25">
      <c r="A177" t="s">
        <v>24</v>
      </c>
      <c r="B177" s="14">
        <v>45798</v>
      </c>
      <c r="C177" s="14">
        <v>45817</v>
      </c>
      <c r="D177" s="7">
        <f t="shared" si="17"/>
        <v>19</v>
      </c>
      <c r="E177" s="5" t="str">
        <f t="shared" si="18"/>
        <v>Q2</v>
      </c>
      <c r="F177" t="s">
        <v>648</v>
      </c>
      <c r="G177" t="s">
        <v>655</v>
      </c>
      <c r="H177" t="s">
        <v>670</v>
      </c>
      <c r="I177" t="s">
        <v>703</v>
      </c>
      <c r="J177" t="s">
        <v>709</v>
      </c>
      <c r="K177" t="s">
        <v>720</v>
      </c>
      <c r="L177" t="s">
        <v>727</v>
      </c>
      <c r="M177">
        <f t="shared" si="19"/>
        <v>0.55401324851612122</v>
      </c>
      <c r="N177" t="s">
        <v>743</v>
      </c>
      <c r="O177" s="7">
        <v>1331.38</v>
      </c>
      <c r="P177" s="7">
        <v>2309.56</v>
      </c>
      <c r="Q177" s="12">
        <v>0.14899999999999999</v>
      </c>
      <c r="R177">
        <v>31</v>
      </c>
      <c r="S177">
        <f t="shared" si="13"/>
        <v>60928.502359999999</v>
      </c>
      <c r="T177">
        <f t="shared" si="14"/>
        <v>41272.780000000006</v>
      </c>
      <c r="U177">
        <f t="shared" si="15"/>
        <v>19655.722359999992</v>
      </c>
      <c r="V177">
        <f t="shared" si="16"/>
        <v>0.32260307735553528</v>
      </c>
    </row>
    <row r="178" spans="1:22" x14ac:dyDescent="0.25">
      <c r="A178" t="s">
        <v>70</v>
      </c>
      <c r="B178" s="14">
        <v>45753</v>
      </c>
      <c r="C178" s="14">
        <v>45777</v>
      </c>
      <c r="D178" s="7">
        <f t="shared" si="17"/>
        <v>24</v>
      </c>
      <c r="E178" s="5" t="str">
        <f t="shared" si="18"/>
        <v>Q2</v>
      </c>
      <c r="F178" t="s">
        <v>648</v>
      </c>
      <c r="G178" t="s">
        <v>655</v>
      </c>
      <c r="H178" t="s">
        <v>672</v>
      </c>
      <c r="I178" t="s">
        <v>702</v>
      </c>
      <c r="J178" t="s">
        <v>711</v>
      </c>
      <c r="K178" t="s">
        <v>723</v>
      </c>
      <c r="L178" t="s">
        <v>732</v>
      </c>
      <c r="M178">
        <f t="shared" si="19"/>
        <v>0.28806846797419838</v>
      </c>
      <c r="N178" t="s">
        <v>789</v>
      </c>
      <c r="O178" s="7">
        <v>855.78</v>
      </c>
      <c r="P178" s="7">
        <v>977.38</v>
      </c>
      <c r="Q178" s="12">
        <v>0.14699999999999999</v>
      </c>
      <c r="R178">
        <v>38</v>
      </c>
      <c r="S178">
        <f t="shared" si="13"/>
        <v>31680.795320000001</v>
      </c>
      <c r="T178">
        <f t="shared" si="14"/>
        <v>32519.64</v>
      </c>
      <c r="U178">
        <f t="shared" si="15"/>
        <v>-838.84467999999833</v>
      </c>
      <c r="V178">
        <f t="shared" si="16"/>
        <v>-2.6478018355506307E-2</v>
      </c>
    </row>
    <row r="179" spans="1:22" x14ac:dyDescent="0.25">
      <c r="A179" t="s">
        <v>607</v>
      </c>
      <c r="B179" s="14">
        <v>44984</v>
      </c>
      <c r="C179" s="15">
        <v>44983</v>
      </c>
      <c r="D179" s="7">
        <f t="shared" si="17"/>
        <v>-1</v>
      </c>
      <c r="E179" s="5" t="str">
        <f t="shared" si="18"/>
        <v>Q1</v>
      </c>
      <c r="F179" t="s">
        <v>648</v>
      </c>
      <c r="G179" t="s">
        <v>660</v>
      </c>
      <c r="H179" t="s">
        <v>686</v>
      </c>
      <c r="I179" t="s">
        <v>703</v>
      </c>
      <c r="J179" t="s">
        <v>707</v>
      </c>
      <c r="K179" t="s">
        <v>716</v>
      </c>
      <c r="L179" t="s">
        <v>729</v>
      </c>
      <c r="M179">
        <f t="shared" si="19"/>
        <v>0.47071990159570259</v>
      </c>
      <c r="N179" t="s">
        <v>1324</v>
      </c>
      <c r="O179" s="7">
        <v>1015.91</v>
      </c>
      <c r="P179" s="7">
        <v>2331.48</v>
      </c>
      <c r="Q179" s="12">
        <v>0.14599999999999999</v>
      </c>
      <c r="R179">
        <v>26</v>
      </c>
      <c r="S179">
        <f t="shared" si="13"/>
        <v>51768.181920000003</v>
      </c>
      <c r="T179">
        <f t="shared" si="14"/>
        <v>26413.66</v>
      </c>
      <c r="U179">
        <f t="shared" si="15"/>
        <v>25354.521920000003</v>
      </c>
      <c r="V179">
        <f t="shared" si="16"/>
        <v>0.48977037592669626</v>
      </c>
    </row>
    <row r="180" spans="1:22" x14ac:dyDescent="0.25">
      <c r="A180" t="s">
        <v>91</v>
      </c>
      <c r="B180" s="14">
        <v>45532</v>
      </c>
      <c r="C180" s="14">
        <v>45560</v>
      </c>
      <c r="D180" s="7">
        <f t="shared" si="17"/>
        <v>28</v>
      </c>
      <c r="E180" s="5" t="str">
        <f t="shared" si="18"/>
        <v>Q3</v>
      </c>
      <c r="F180" t="s">
        <v>648</v>
      </c>
      <c r="G180" t="s">
        <v>655</v>
      </c>
      <c r="H180" t="s">
        <v>692</v>
      </c>
      <c r="I180" t="s">
        <v>703</v>
      </c>
      <c r="J180" t="s">
        <v>710</v>
      </c>
      <c r="K180" t="s">
        <v>1430</v>
      </c>
      <c r="L180" t="s">
        <v>733</v>
      </c>
      <c r="M180">
        <f t="shared" si="19"/>
        <v>0.32185276331740548</v>
      </c>
      <c r="N180" t="s">
        <v>810</v>
      </c>
      <c r="O180" s="7">
        <v>1394.65</v>
      </c>
      <c r="P180" s="7">
        <v>3144.1</v>
      </c>
      <c r="Q180" s="12">
        <v>0.13400000000000001</v>
      </c>
      <c r="R180">
        <v>13</v>
      </c>
      <c r="S180">
        <f t="shared" si="13"/>
        <v>35396.277799999996</v>
      </c>
      <c r="T180">
        <f t="shared" si="14"/>
        <v>18130.45</v>
      </c>
      <c r="U180">
        <f t="shared" si="15"/>
        <v>17265.827799999995</v>
      </c>
      <c r="V180">
        <f t="shared" si="16"/>
        <v>0.4877865378263021</v>
      </c>
    </row>
    <row r="181" spans="1:22" x14ac:dyDescent="0.25">
      <c r="A181" t="s">
        <v>254</v>
      </c>
      <c r="B181" s="14">
        <v>45381</v>
      </c>
      <c r="C181" s="14">
        <v>45406</v>
      </c>
      <c r="D181" s="7">
        <f t="shared" si="17"/>
        <v>25</v>
      </c>
      <c r="E181" s="5" t="str">
        <f t="shared" si="18"/>
        <v>Q1</v>
      </c>
      <c r="F181" t="s">
        <v>648</v>
      </c>
      <c r="G181" t="s">
        <v>660</v>
      </c>
      <c r="H181" t="s">
        <v>697</v>
      </c>
      <c r="I181" t="s">
        <v>703</v>
      </c>
      <c r="J181" t="s">
        <v>708</v>
      </c>
      <c r="K181" t="s">
        <v>715</v>
      </c>
      <c r="L181" t="s">
        <v>731</v>
      </c>
      <c r="M181">
        <f t="shared" si="19"/>
        <v>3.4766579794272709E-2</v>
      </c>
      <c r="N181" t="s">
        <v>973</v>
      </c>
      <c r="O181" s="7">
        <v>160.82</v>
      </c>
      <c r="P181" s="7">
        <v>258.52</v>
      </c>
      <c r="Q181" s="12">
        <v>0.13</v>
      </c>
      <c r="R181">
        <v>17</v>
      </c>
      <c r="S181">
        <f t="shared" si="13"/>
        <v>3823.5108</v>
      </c>
      <c r="T181">
        <f t="shared" si="14"/>
        <v>2733.94</v>
      </c>
      <c r="U181">
        <f t="shared" si="15"/>
        <v>1089.5708</v>
      </c>
      <c r="V181">
        <f t="shared" si="16"/>
        <v>0.28496605789631874</v>
      </c>
    </row>
    <row r="182" spans="1:22" x14ac:dyDescent="0.25">
      <c r="A182" t="s">
        <v>526</v>
      </c>
      <c r="B182" s="14">
        <v>45353</v>
      </c>
      <c r="C182" s="14">
        <v>45374</v>
      </c>
      <c r="D182" s="7">
        <f t="shared" si="17"/>
        <v>21</v>
      </c>
      <c r="E182" s="5" t="str">
        <f t="shared" si="18"/>
        <v>Q1</v>
      </c>
      <c r="F182" t="s">
        <v>648</v>
      </c>
      <c r="G182" t="s">
        <v>660</v>
      </c>
      <c r="H182" t="s">
        <v>677</v>
      </c>
      <c r="I182" t="s">
        <v>705</v>
      </c>
      <c r="J182" t="s">
        <v>708</v>
      </c>
      <c r="K182" t="s">
        <v>721</v>
      </c>
      <c r="L182" t="s">
        <v>727</v>
      </c>
      <c r="M182">
        <f t="shared" si="19"/>
        <v>3.2057274393728102E-2</v>
      </c>
      <c r="N182" t="s">
        <v>1244</v>
      </c>
      <c r="O182" s="7">
        <v>225.01</v>
      </c>
      <c r="P182" s="7">
        <v>333.48</v>
      </c>
      <c r="Q182" s="12">
        <v>0.11899999999999999</v>
      </c>
      <c r="R182">
        <v>12</v>
      </c>
      <c r="S182">
        <f t="shared" si="13"/>
        <v>3525.5505600000001</v>
      </c>
      <c r="T182">
        <f t="shared" si="14"/>
        <v>2700.12</v>
      </c>
      <c r="U182">
        <f t="shared" si="15"/>
        <v>825.43056000000024</v>
      </c>
      <c r="V182">
        <f t="shared" si="16"/>
        <v>0.23412813004729685</v>
      </c>
    </row>
    <row r="183" spans="1:22" x14ac:dyDescent="0.25">
      <c r="A183" t="s">
        <v>128</v>
      </c>
      <c r="B183" s="14">
        <v>45674</v>
      </c>
      <c r="C183" s="14">
        <v>45681</v>
      </c>
      <c r="D183" s="7">
        <f t="shared" si="17"/>
        <v>7</v>
      </c>
      <c r="E183" s="5" t="str">
        <f t="shared" si="18"/>
        <v>Q1</v>
      </c>
      <c r="F183" t="s">
        <v>648</v>
      </c>
      <c r="G183" t="s">
        <v>660</v>
      </c>
      <c r="H183" t="s">
        <v>697</v>
      </c>
      <c r="I183" t="s">
        <v>706</v>
      </c>
      <c r="J183" t="s">
        <v>707</v>
      </c>
      <c r="K183" t="s">
        <v>715</v>
      </c>
      <c r="L183" t="s">
        <v>733</v>
      </c>
      <c r="M183">
        <f t="shared" si="19"/>
        <v>1.9253943016404155E-2</v>
      </c>
      <c r="N183" t="s">
        <v>847</v>
      </c>
      <c r="O183" s="7">
        <v>142.09</v>
      </c>
      <c r="P183" s="7">
        <v>218.5</v>
      </c>
      <c r="Q183" s="12">
        <v>0.11899999999999999</v>
      </c>
      <c r="R183">
        <v>11</v>
      </c>
      <c r="S183">
        <f t="shared" si="13"/>
        <v>2117.4834999999998</v>
      </c>
      <c r="T183">
        <f t="shared" si="14"/>
        <v>1562.99</v>
      </c>
      <c r="U183">
        <f t="shared" si="15"/>
        <v>554.49349999999981</v>
      </c>
      <c r="V183">
        <f t="shared" si="16"/>
        <v>0.26186437816398561</v>
      </c>
    </row>
    <row r="184" spans="1:22" x14ac:dyDescent="0.25">
      <c r="A184" t="s">
        <v>144</v>
      </c>
      <c r="B184" s="14">
        <v>44948</v>
      </c>
      <c r="C184" s="14">
        <v>44956</v>
      </c>
      <c r="D184" s="7">
        <f t="shared" si="17"/>
        <v>8</v>
      </c>
      <c r="E184" s="5" t="str">
        <f t="shared" si="18"/>
        <v>Q1</v>
      </c>
      <c r="F184" t="s">
        <v>648</v>
      </c>
      <c r="G184" t="s">
        <v>660</v>
      </c>
      <c r="H184" t="s">
        <v>686</v>
      </c>
      <c r="I184" t="s">
        <v>705</v>
      </c>
      <c r="J184" t="s">
        <v>709</v>
      </c>
      <c r="K184" t="s">
        <v>720</v>
      </c>
      <c r="L184" t="s">
        <v>729</v>
      </c>
      <c r="M184">
        <f t="shared" si="19"/>
        <v>0.14613514441826053</v>
      </c>
      <c r="N184" t="s">
        <v>863</v>
      </c>
      <c r="O184" s="7">
        <v>413.52</v>
      </c>
      <c r="P184" s="7">
        <v>1004.34</v>
      </c>
      <c r="Q184" s="12">
        <v>0.111</v>
      </c>
      <c r="R184">
        <v>18</v>
      </c>
      <c r="S184">
        <f t="shared" si="13"/>
        <v>16071.44868</v>
      </c>
      <c r="T184">
        <f t="shared" si="14"/>
        <v>7443.36</v>
      </c>
      <c r="U184">
        <f t="shared" si="15"/>
        <v>8628.0886800000007</v>
      </c>
      <c r="V184">
        <f t="shared" si="16"/>
        <v>0.53685817948304593</v>
      </c>
    </row>
    <row r="185" spans="1:22" x14ac:dyDescent="0.25">
      <c r="A185" t="s">
        <v>246</v>
      </c>
      <c r="B185" s="14">
        <v>45771</v>
      </c>
      <c r="C185" s="14">
        <v>45783</v>
      </c>
      <c r="D185" s="7">
        <f t="shared" si="17"/>
        <v>12</v>
      </c>
      <c r="E185" s="5" t="str">
        <f t="shared" si="18"/>
        <v>Q2</v>
      </c>
      <c r="F185" t="s">
        <v>648</v>
      </c>
      <c r="G185" t="s">
        <v>655</v>
      </c>
      <c r="H185" t="s">
        <v>672</v>
      </c>
      <c r="I185" t="s">
        <v>704</v>
      </c>
      <c r="J185" t="s">
        <v>710</v>
      </c>
      <c r="K185" t="s">
        <v>712</v>
      </c>
      <c r="L185" t="s">
        <v>730</v>
      </c>
      <c r="M185">
        <f t="shared" si="19"/>
        <v>5.2872082583557092E-2</v>
      </c>
      <c r="N185" t="s">
        <v>965</v>
      </c>
      <c r="O185" s="7">
        <v>394.13</v>
      </c>
      <c r="P185" s="7">
        <v>932.29</v>
      </c>
      <c r="Q185" s="12">
        <v>0.109</v>
      </c>
      <c r="R185">
        <v>7</v>
      </c>
      <c r="S185">
        <f t="shared" si="13"/>
        <v>5814.6927299999998</v>
      </c>
      <c r="T185">
        <f t="shared" si="14"/>
        <v>2758.91</v>
      </c>
      <c r="U185">
        <f t="shared" si="15"/>
        <v>3055.7827299999999</v>
      </c>
      <c r="V185">
        <f t="shared" si="16"/>
        <v>0.5255278089303268</v>
      </c>
    </row>
    <row r="186" spans="1:22" x14ac:dyDescent="0.25">
      <c r="A186" t="s">
        <v>226</v>
      </c>
      <c r="B186" s="14">
        <v>45852</v>
      </c>
      <c r="C186" s="14">
        <v>45873</v>
      </c>
      <c r="D186" s="7">
        <f t="shared" si="17"/>
        <v>21</v>
      </c>
      <c r="E186" s="5" t="str">
        <f t="shared" si="18"/>
        <v>Q3</v>
      </c>
      <c r="F186" t="s">
        <v>648</v>
      </c>
      <c r="G186" t="s">
        <v>653</v>
      </c>
      <c r="H186" t="s">
        <v>681</v>
      </c>
      <c r="I186" t="s">
        <v>704</v>
      </c>
      <c r="J186" t="s">
        <v>709</v>
      </c>
      <c r="K186" t="s">
        <v>722</v>
      </c>
      <c r="L186" t="s">
        <v>732</v>
      </c>
      <c r="M186">
        <f t="shared" si="19"/>
        <v>1.6138041545024465E-2</v>
      </c>
      <c r="N186" t="s">
        <v>945</v>
      </c>
      <c r="O186" s="7">
        <v>90.3</v>
      </c>
      <c r="P186" s="7">
        <v>131.76</v>
      </c>
      <c r="Q186" s="12">
        <v>0.10199999999999999</v>
      </c>
      <c r="R186">
        <v>15</v>
      </c>
      <c r="S186">
        <f t="shared" si="13"/>
        <v>1774.8072</v>
      </c>
      <c r="T186">
        <f t="shared" si="14"/>
        <v>1354.5</v>
      </c>
      <c r="U186">
        <f t="shared" si="15"/>
        <v>420.30719999999997</v>
      </c>
      <c r="V186">
        <f t="shared" si="16"/>
        <v>0.23681851189244668</v>
      </c>
    </row>
    <row r="187" spans="1:22" x14ac:dyDescent="0.25">
      <c r="A187" t="s">
        <v>209</v>
      </c>
      <c r="B187" s="14">
        <v>45050</v>
      </c>
      <c r="C187" s="14">
        <v>45072</v>
      </c>
      <c r="D187" s="7">
        <f t="shared" si="17"/>
        <v>22</v>
      </c>
      <c r="E187" s="5" t="str">
        <f t="shared" si="18"/>
        <v>Q2</v>
      </c>
      <c r="F187" t="s">
        <v>648</v>
      </c>
      <c r="G187" t="s">
        <v>660</v>
      </c>
      <c r="H187" t="s">
        <v>686</v>
      </c>
      <c r="I187" t="s">
        <v>706</v>
      </c>
      <c r="J187" t="s">
        <v>710</v>
      </c>
      <c r="K187" t="s">
        <v>713</v>
      </c>
      <c r="L187" t="s">
        <v>729</v>
      </c>
      <c r="M187">
        <f t="shared" si="19"/>
        <v>3.5720136683868108E-2</v>
      </c>
      <c r="N187" t="s">
        <v>928</v>
      </c>
      <c r="O187" s="7">
        <v>249.71</v>
      </c>
      <c r="P187" s="7">
        <v>361.33</v>
      </c>
      <c r="Q187" s="12">
        <v>9.4E-2</v>
      </c>
      <c r="R187">
        <v>12</v>
      </c>
      <c r="S187">
        <f t="shared" si="13"/>
        <v>3928.3797600000003</v>
      </c>
      <c r="T187">
        <f t="shared" si="14"/>
        <v>2996.52</v>
      </c>
      <c r="U187">
        <f t="shared" si="15"/>
        <v>931.85976000000028</v>
      </c>
      <c r="V187">
        <f t="shared" si="16"/>
        <v>0.23721223937881206</v>
      </c>
    </row>
    <row r="188" spans="1:22" x14ac:dyDescent="0.25">
      <c r="A188" t="s">
        <v>27</v>
      </c>
      <c r="B188" s="14">
        <v>45722</v>
      </c>
      <c r="C188" s="14">
        <v>45747</v>
      </c>
      <c r="D188" s="7">
        <f t="shared" si="17"/>
        <v>25</v>
      </c>
      <c r="E188" s="5" t="str">
        <f t="shared" si="18"/>
        <v>Q1</v>
      </c>
      <c r="F188" t="s">
        <v>648</v>
      </c>
      <c r="G188" t="s">
        <v>655</v>
      </c>
      <c r="H188" t="s">
        <v>672</v>
      </c>
      <c r="I188" t="s">
        <v>703</v>
      </c>
      <c r="J188" t="s">
        <v>708</v>
      </c>
      <c r="K188" t="s">
        <v>713</v>
      </c>
      <c r="L188" t="s">
        <v>727</v>
      </c>
      <c r="M188">
        <f t="shared" si="19"/>
        <v>4.517782211421062E-2</v>
      </c>
      <c r="N188" t="s">
        <v>746</v>
      </c>
      <c r="O188" s="7">
        <v>331.57</v>
      </c>
      <c r="P188" s="7">
        <v>548.4</v>
      </c>
      <c r="Q188" s="12">
        <v>9.4E-2</v>
      </c>
      <c r="R188">
        <v>10</v>
      </c>
      <c r="S188">
        <f t="shared" si="13"/>
        <v>4968.5039999999999</v>
      </c>
      <c r="T188">
        <f t="shared" si="14"/>
        <v>3315.7</v>
      </c>
      <c r="U188">
        <f t="shared" si="15"/>
        <v>1652.8040000000001</v>
      </c>
      <c r="V188">
        <f t="shared" si="16"/>
        <v>0.33265626836568918</v>
      </c>
    </row>
    <row r="189" spans="1:22" x14ac:dyDescent="0.25">
      <c r="A189" t="s">
        <v>46</v>
      </c>
      <c r="B189" s="14">
        <v>44980</v>
      </c>
      <c r="C189" s="14">
        <v>45010</v>
      </c>
      <c r="D189" s="7">
        <f t="shared" si="17"/>
        <v>30</v>
      </c>
      <c r="E189" s="5" t="str">
        <f t="shared" si="18"/>
        <v>Q1</v>
      </c>
      <c r="F189" t="s">
        <v>648</v>
      </c>
      <c r="G189" t="s">
        <v>653</v>
      </c>
      <c r="H189" t="s">
        <v>681</v>
      </c>
      <c r="I189" t="s">
        <v>706</v>
      </c>
      <c r="K189" t="s">
        <v>726</v>
      </c>
      <c r="L189" t="s">
        <v>730</v>
      </c>
      <c r="M189">
        <f t="shared" si="19"/>
        <v>0.23778113240338752</v>
      </c>
      <c r="N189" t="s">
        <v>765</v>
      </c>
      <c r="O189" s="7">
        <v>1242.6600000000001</v>
      </c>
      <c r="P189" s="7">
        <v>1794.07</v>
      </c>
      <c r="Q189" s="12">
        <v>8.8999999999999996E-2</v>
      </c>
      <c r="R189">
        <v>16</v>
      </c>
      <c r="S189">
        <f t="shared" si="13"/>
        <v>26150.364320000001</v>
      </c>
      <c r="T189">
        <f t="shared" si="14"/>
        <v>19882.560000000001</v>
      </c>
      <c r="U189">
        <f t="shared" si="15"/>
        <v>6267.8043199999993</v>
      </c>
      <c r="V189">
        <f t="shared" si="16"/>
        <v>0.23968325042440553</v>
      </c>
    </row>
    <row r="190" spans="1:22" x14ac:dyDescent="0.25">
      <c r="A190" t="s">
        <v>592</v>
      </c>
      <c r="B190" s="14">
        <v>45140</v>
      </c>
      <c r="C190" s="14">
        <v>45157</v>
      </c>
      <c r="D190" s="7">
        <f t="shared" si="17"/>
        <v>17</v>
      </c>
      <c r="E190" s="5" t="str">
        <f t="shared" si="18"/>
        <v>Q3</v>
      </c>
      <c r="F190" t="s">
        <v>648</v>
      </c>
      <c r="G190" t="s">
        <v>653</v>
      </c>
      <c r="H190" t="s">
        <v>688</v>
      </c>
      <c r="I190" t="s">
        <v>701</v>
      </c>
      <c r="J190" t="s">
        <v>710</v>
      </c>
      <c r="K190" t="s">
        <v>721</v>
      </c>
      <c r="L190" t="s">
        <v>729</v>
      </c>
      <c r="M190">
        <f t="shared" si="19"/>
        <v>0.12623230364054366</v>
      </c>
      <c r="N190" t="s">
        <v>1309</v>
      </c>
      <c r="O190" s="7">
        <v>175.38</v>
      </c>
      <c r="P190" s="7">
        <v>347.9</v>
      </c>
      <c r="Q190" s="12">
        <v>7.1999999999999995E-2</v>
      </c>
      <c r="R190">
        <v>43</v>
      </c>
      <c r="S190">
        <f t="shared" si="13"/>
        <v>13882.6016</v>
      </c>
      <c r="T190">
        <f t="shared" si="14"/>
        <v>7541.34</v>
      </c>
      <c r="U190">
        <f t="shared" si="15"/>
        <v>6341.2615999999998</v>
      </c>
      <c r="V190">
        <f t="shared" si="16"/>
        <v>0.45677761148169804</v>
      </c>
    </row>
    <row r="191" spans="1:22" x14ac:dyDescent="0.25">
      <c r="A191" t="s">
        <v>193</v>
      </c>
      <c r="B191" s="14">
        <v>45021</v>
      </c>
      <c r="C191" s="14">
        <v>45032</v>
      </c>
      <c r="D191" s="7">
        <f t="shared" si="17"/>
        <v>11</v>
      </c>
      <c r="E191" s="5" t="str">
        <f t="shared" si="18"/>
        <v>Q2</v>
      </c>
      <c r="F191" t="s">
        <v>648</v>
      </c>
      <c r="G191" t="s">
        <v>653</v>
      </c>
      <c r="H191" t="s">
        <v>688</v>
      </c>
      <c r="I191" t="s">
        <v>703</v>
      </c>
      <c r="J191" t="s">
        <v>711</v>
      </c>
      <c r="K191" t="s">
        <v>719</v>
      </c>
      <c r="L191" t="s">
        <v>732</v>
      </c>
      <c r="M191">
        <f t="shared" si="19"/>
        <v>6.4545990321775118E-2</v>
      </c>
      <c r="N191" t="s">
        <v>912</v>
      </c>
      <c r="O191" s="7">
        <v>213.1</v>
      </c>
      <c r="P191" s="7">
        <v>501.31</v>
      </c>
      <c r="Q191" s="12">
        <v>5.6000000000000001E-2</v>
      </c>
      <c r="R191">
        <v>15</v>
      </c>
      <c r="S191">
        <f t="shared" si="13"/>
        <v>7098.5495999999994</v>
      </c>
      <c r="T191">
        <f t="shared" si="14"/>
        <v>3196.5</v>
      </c>
      <c r="U191">
        <f t="shared" si="15"/>
        <v>3902.0495999999994</v>
      </c>
      <c r="V191">
        <f t="shared" si="16"/>
        <v>0.54969674368409005</v>
      </c>
    </row>
    <row r="192" spans="1:22" x14ac:dyDescent="0.25">
      <c r="A192" t="s">
        <v>187</v>
      </c>
      <c r="B192" s="14">
        <v>44981</v>
      </c>
      <c r="C192" s="14">
        <v>44994</v>
      </c>
      <c r="D192" s="7">
        <f t="shared" si="17"/>
        <v>13</v>
      </c>
      <c r="E192" s="5" t="str">
        <f t="shared" si="18"/>
        <v>Q1</v>
      </c>
      <c r="F192" t="s">
        <v>648</v>
      </c>
      <c r="G192" t="s">
        <v>660</v>
      </c>
      <c r="H192" t="s">
        <v>700</v>
      </c>
      <c r="I192" t="s">
        <v>706</v>
      </c>
      <c r="J192" t="s">
        <v>707</v>
      </c>
      <c r="K192" t="s">
        <v>724</v>
      </c>
      <c r="L192" t="s">
        <v>727</v>
      </c>
      <c r="M192">
        <f t="shared" si="19"/>
        <v>8.8214570895766404E-4</v>
      </c>
      <c r="N192" t="s">
        <v>906</v>
      </c>
      <c r="O192" s="7">
        <v>6.85</v>
      </c>
      <c r="P192" s="7">
        <v>10.18</v>
      </c>
      <c r="Q192" s="12">
        <v>4.7E-2</v>
      </c>
      <c r="R192">
        <v>10</v>
      </c>
      <c r="S192">
        <f t="shared" si="13"/>
        <v>97.0154</v>
      </c>
      <c r="T192">
        <f t="shared" si="14"/>
        <v>68.5</v>
      </c>
      <c r="U192">
        <f t="shared" si="15"/>
        <v>28.5154</v>
      </c>
      <c r="V192">
        <f t="shared" si="16"/>
        <v>0.2939265312517394</v>
      </c>
    </row>
    <row r="193" spans="1:22" x14ac:dyDescent="0.25">
      <c r="A193" t="s">
        <v>326</v>
      </c>
      <c r="B193" s="14">
        <v>45435</v>
      </c>
      <c r="C193" s="14">
        <v>45449</v>
      </c>
      <c r="D193" s="7">
        <f t="shared" si="17"/>
        <v>14</v>
      </c>
      <c r="E193" s="5" t="str">
        <f t="shared" si="18"/>
        <v>Q2</v>
      </c>
      <c r="F193" t="s">
        <v>648</v>
      </c>
      <c r="G193" t="s">
        <v>655</v>
      </c>
      <c r="H193" t="s">
        <v>692</v>
      </c>
      <c r="I193" t="s">
        <v>703</v>
      </c>
      <c r="J193" t="s">
        <v>708</v>
      </c>
      <c r="K193" t="s">
        <v>714</v>
      </c>
      <c r="L193" t="s">
        <v>729</v>
      </c>
      <c r="M193">
        <f t="shared" si="19"/>
        <v>7.9931391870073174E-3</v>
      </c>
      <c r="N193" t="s">
        <v>1045</v>
      </c>
      <c r="O193" s="7">
        <v>51.13</v>
      </c>
      <c r="P193" s="7">
        <v>57.53</v>
      </c>
      <c r="Q193" s="12">
        <v>4.4999999999999998E-2</v>
      </c>
      <c r="R193">
        <v>16</v>
      </c>
      <c r="S193">
        <f t="shared" si="13"/>
        <v>879.05840000000001</v>
      </c>
      <c r="T193">
        <f t="shared" si="14"/>
        <v>818.08</v>
      </c>
      <c r="U193">
        <f t="shared" si="15"/>
        <v>60.978399999999965</v>
      </c>
      <c r="V193">
        <f t="shared" si="16"/>
        <v>6.9367859973808302E-2</v>
      </c>
    </row>
    <row r="194" spans="1:22" x14ac:dyDescent="0.25">
      <c r="A194" t="s">
        <v>460</v>
      </c>
      <c r="B194" s="14">
        <v>45090</v>
      </c>
      <c r="C194" s="14">
        <v>45101</v>
      </c>
      <c r="D194" s="7">
        <f t="shared" si="17"/>
        <v>11</v>
      </c>
      <c r="E194" s="5" t="str">
        <f t="shared" si="18"/>
        <v>Q2</v>
      </c>
      <c r="F194" t="s">
        <v>648</v>
      </c>
      <c r="G194" t="s">
        <v>653</v>
      </c>
      <c r="H194" t="s">
        <v>667</v>
      </c>
      <c r="I194" t="s">
        <v>701</v>
      </c>
      <c r="J194" t="s">
        <v>711</v>
      </c>
      <c r="K194" t="s">
        <v>712</v>
      </c>
      <c r="L194" t="s">
        <v>728</v>
      </c>
      <c r="M194">
        <f t="shared" si="19"/>
        <v>1.750643716677644E-2</v>
      </c>
      <c r="N194" t="s">
        <v>1178</v>
      </c>
      <c r="O194" s="7">
        <v>247.07</v>
      </c>
      <c r="P194" s="7">
        <v>495.19</v>
      </c>
      <c r="Q194" s="12">
        <v>2.8000000000000001E-2</v>
      </c>
      <c r="R194">
        <v>4</v>
      </c>
      <c r="S194">
        <f t="shared" ref="S194:S257" si="20">P194*R194*(1-Q194)</f>
        <v>1925.29872</v>
      </c>
      <c r="T194">
        <f t="shared" ref="T194:T257" si="21">O194*R194</f>
        <v>988.28</v>
      </c>
      <c r="U194">
        <f t="shared" ref="U194:U257" si="22">S194-T194</f>
        <v>937.01872000000003</v>
      </c>
      <c r="V194">
        <f t="shared" ref="V194:V257" si="23">IF(S194=0,0,U194/S194)</f>
        <v>0.48668744764968214</v>
      </c>
    </row>
    <row r="195" spans="1:22" x14ac:dyDescent="0.25">
      <c r="A195" t="s">
        <v>164</v>
      </c>
      <c r="B195" s="14">
        <v>45558</v>
      </c>
      <c r="C195" s="14">
        <v>45583</v>
      </c>
      <c r="D195" s="7">
        <f t="shared" ref="D195:D258" si="24">C195-B195</f>
        <v>25</v>
      </c>
      <c r="E195" s="5" t="str">
        <f t="shared" ref="E195:E258" si="25">IF(AND(MONTH(B195)&gt;=1,MONTH(B195)&lt;=3),"Q1", IF(AND(MONTH(B195)&gt;=4,MONTH(B195)&lt;=6), "Q2", IF(AND(MONTH(B195)&gt;=7,MONTH(B195)&lt;=9),"Q3", IF(AND(MONTH(B195)&gt;=10,MONTH(B195)&lt;=12),"Q4"))))</f>
        <v>Q3</v>
      </c>
      <c r="F195" t="s">
        <v>648</v>
      </c>
      <c r="G195" t="s">
        <v>653</v>
      </c>
      <c r="H195" t="s">
        <v>688</v>
      </c>
      <c r="I195" t="s">
        <v>705</v>
      </c>
      <c r="J195" t="s">
        <v>707</v>
      </c>
      <c r="K195" t="s">
        <v>725</v>
      </c>
      <c r="L195" t="s">
        <v>730</v>
      </c>
      <c r="M195">
        <f t="shared" ref="M195:M258" si="26">(S195/$S$634)*100</f>
        <v>0.38640764680242262</v>
      </c>
      <c r="N195" t="s">
        <v>883</v>
      </c>
      <c r="O195" s="7">
        <v>1297</v>
      </c>
      <c r="P195" s="7">
        <v>2411.52</v>
      </c>
      <c r="Q195" s="12">
        <v>2.1000000000000001E-2</v>
      </c>
      <c r="R195">
        <v>18</v>
      </c>
      <c r="S195">
        <f t="shared" si="20"/>
        <v>42495.805439999996</v>
      </c>
      <c r="T195">
        <f t="shared" si="21"/>
        <v>23346</v>
      </c>
      <c r="U195">
        <f t="shared" si="22"/>
        <v>19149.805439999996</v>
      </c>
      <c r="V195">
        <f t="shared" si="23"/>
        <v>0.45062813239385913</v>
      </c>
    </row>
    <row r="196" spans="1:22" x14ac:dyDescent="0.25">
      <c r="A196" t="s">
        <v>39</v>
      </c>
      <c r="B196" s="14">
        <v>44964</v>
      </c>
      <c r="C196" s="14">
        <v>44969</v>
      </c>
      <c r="D196" s="7">
        <f t="shared" si="24"/>
        <v>5</v>
      </c>
      <c r="E196" s="5" t="str">
        <f t="shared" si="25"/>
        <v>Q1</v>
      </c>
      <c r="F196" t="s">
        <v>648</v>
      </c>
      <c r="G196" t="s">
        <v>655</v>
      </c>
      <c r="H196" t="s">
        <v>670</v>
      </c>
      <c r="I196" t="s">
        <v>702</v>
      </c>
      <c r="J196" t="s">
        <v>709</v>
      </c>
      <c r="K196" t="s">
        <v>725</v>
      </c>
      <c r="L196" t="s">
        <v>727</v>
      </c>
      <c r="M196">
        <f t="shared" si="26"/>
        <v>0.22636112509404213</v>
      </c>
      <c r="N196" t="s">
        <v>758</v>
      </c>
      <c r="O196" s="7">
        <v>948.55</v>
      </c>
      <c r="P196" s="7">
        <v>2089.16</v>
      </c>
      <c r="Q196" s="12">
        <v>7.0000000000000001E-3</v>
      </c>
      <c r="R196">
        <v>12</v>
      </c>
      <c r="S196">
        <f t="shared" si="20"/>
        <v>24894.430559999997</v>
      </c>
      <c r="T196">
        <f t="shared" si="21"/>
        <v>11382.599999999999</v>
      </c>
      <c r="U196">
        <f t="shared" si="22"/>
        <v>13511.830559999999</v>
      </c>
      <c r="V196">
        <f t="shared" si="23"/>
        <v>0.54276519912492427</v>
      </c>
    </row>
    <row r="197" spans="1:22" x14ac:dyDescent="0.25">
      <c r="A197" t="s">
        <v>217</v>
      </c>
      <c r="B197" s="14">
        <v>45153</v>
      </c>
      <c r="C197" s="14">
        <v>45176</v>
      </c>
      <c r="D197" s="7">
        <f t="shared" si="24"/>
        <v>23</v>
      </c>
      <c r="E197" s="5" t="str">
        <f t="shared" si="25"/>
        <v>Q3</v>
      </c>
      <c r="F197" t="s">
        <v>648</v>
      </c>
      <c r="G197" t="s">
        <v>660</v>
      </c>
      <c r="H197" t="s">
        <v>700</v>
      </c>
      <c r="I197" t="s">
        <v>706</v>
      </c>
      <c r="J197" t="s">
        <v>711</v>
      </c>
      <c r="K197" t="s">
        <v>723</v>
      </c>
      <c r="L197" t="s">
        <v>730</v>
      </c>
      <c r="M197">
        <f t="shared" si="26"/>
        <v>0.23004017482531947</v>
      </c>
      <c r="N197" t="s">
        <v>936</v>
      </c>
      <c r="O197" s="7">
        <v>590.33000000000004</v>
      </c>
      <c r="P197" s="7">
        <v>973.04</v>
      </c>
      <c r="Q197" s="12">
        <v>0</v>
      </c>
      <c r="R197">
        <v>26</v>
      </c>
      <c r="S197">
        <f t="shared" si="20"/>
        <v>25299.040000000001</v>
      </c>
      <c r="T197">
        <f t="shared" si="21"/>
        <v>15348.580000000002</v>
      </c>
      <c r="U197">
        <f t="shared" si="22"/>
        <v>9950.4599999999991</v>
      </c>
      <c r="V197">
        <f t="shared" si="23"/>
        <v>0.39331373838691108</v>
      </c>
    </row>
    <row r="198" spans="1:22" x14ac:dyDescent="0.25">
      <c r="A198" t="s">
        <v>459</v>
      </c>
      <c r="B198" s="14">
        <v>45560</v>
      </c>
      <c r="C198" s="14">
        <v>45568</v>
      </c>
      <c r="D198" s="7">
        <f t="shared" si="24"/>
        <v>8</v>
      </c>
      <c r="E198" s="5" t="str">
        <f t="shared" si="25"/>
        <v>Q3</v>
      </c>
      <c r="F198" t="s">
        <v>648</v>
      </c>
      <c r="G198" t="s">
        <v>653</v>
      </c>
      <c r="H198" t="s">
        <v>667</v>
      </c>
      <c r="I198" t="s">
        <v>704</v>
      </c>
      <c r="J198" t="s">
        <v>711</v>
      </c>
      <c r="K198" t="s">
        <v>718</v>
      </c>
      <c r="L198" t="s">
        <v>728</v>
      </c>
      <c r="M198">
        <f t="shared" si="26"/>
        <v>0.19699133109764819</v>
      </c>
      <c r="N198" t="s">
        <v>1177</v>
      </c>
      <c r="O198" s="7">
        <v>558.19000000000005</v>
      </c>
      <c r="P198" s="7">
        <v>1031.6400000000001</v>
      </c>
      <c r="Q198" s="12">
        <v>0</v>
      </c>
      <c r="R198">
        <v>21</v>
      </c>
      <c r="S198">
        <f t="shared" si="20"/>
        <v>21664.440000000002</v>
      </c>
      <c r="T198">
        <f t="shared" si="21"/>
        <v>11721.990000000002</v>
      </c>
      <c r="U198">
        <f t="shared" si="22"/>
        <v>9942.4500000000007</v>
      </c>
      <c r="V198">
        <f t="shared" si="23"/>
        <v>0.45892947152107322</v>
      </c>
    </row>
    <row r="199" spans="1:22" x14ac:dyDescent="0.25">
      <c r="A199" t="s">
        <v>643</v>
      </c>
      <c r="B199" s="14">
        <v>45100</v>
      </c>
      <c r="C199" s="14">
        <v>45125</v>
      </c>
      <c r="D199" s="7">
        <f t="shared" si="24"/>
        <v>25</v>
      </c>
      <c r="E199" s="5" t="str">
        <f t="shared" si="25"/>
        <v>Q2</v>
      </c>
      <c r="F199" t="s">
        <v>648</v>
      </c>
      <c r="G199" t="s">
        <v>653</v>
      </c>
      <c r="H199" t="s">
        <v>688</v>
      </c>
      <c r="I199" t="s">
        <v>706</v>
      </c>
      <c r="J199" t="s">
        <v>710</v>
      </c>
      <c r="K199" t="s">
        <v>725</v>
      </c>
      <c r="L199" t="s">
        <v>730</v>
      </c>
      <c r="M199">
        <f t="shared" si="26"/>
        <v>0.3002221850742558</v>
      </c>
      <c r="N199" t="s">
        <v>1360</v>
      </c>
      <c r="O199" s="7">
        <v>807.02</v>
      </c>
      <c r="P199" s="7">
        <v>1435.54</v>
      </c>
      <c r="Q199" s="12">
        <v>0</v>
      </c>
      <c r="R199">
        <v>23</v>
      </c>
      <c r="S199">
        <f t="shared" si="20"/>
        <v>33017.42</v>
      </c>
      <c r="T199">
        <f t="shared" si="21"/>
        <v>18561.46</v>
      </c>
      <c r="U199">
        <f t="shared" si="22"/>
        <v>14455.96</v>
      </c>
      <c r="V199">
        <f t="shared" si="23"/>
        <v>0.43782827368098415</v>
      </c>
    </row>
    <row r="200" spans="1:22" x14ac:dyDescent="0.25">
      <c r="A200" t="s">
        <v>584</v>
      </c>
      <c r="B200" s="14">
        <v>45342</v>
      </c>
      <c r="C200" s="14">
        <v>45342</v>
      </c>
      <c r="D200" s="7">
        <f t="shared" si="24"/>
        <v>0</v>
      </c>
      <c r="E200" s="5" t="str">
        <f t="shared" si="25"/>
        <v>Q1</v>
      </c>
      <c r="F200" t="s">
        <v>648</v>
      </c>
      <c r="G200" t="s">
        <v>660</v>
      </c>
      <c r="H200" t="s">
        <v>700</v>
      </c>
      <c r="I200" t="s">
        <v>706</v>
      </c>
      <c r="J200" t="s">
        <v>709</v>
      </c>
      <c r="K200" t="s">
        <v>712</v>
      </c>
      <c r="L200" t="s">
        <v>729</v>
      </c>
      <c r="M200">
        <f t="shared" si="26"/>
        <v>0.31194958718434401</v>
      </c>
      <c r="N200" t="s">
        <v>1301</v>
      </c>
      <c r="O200" s="7">
        <v>1407.05</v>
      </c>
      <c r="P200" s="7">
        <v>2858.93</v>
      </c>
      <c r="Q200" s="12">
        <v>0</v>
      </c>
      <c r="R200">
        <v>12</v>
      </c>
      <c r="S200">
        <f t="shared" si="20"/>
        <v>34307.159999999996</v>
      </c>
      <c r="T200">
        <f t="shared" si="21"/>
        <v>16884.599999999999</v>
      </c>
      <c r="U200">
        <f t="shared" si="22"/>
        <v>17422.559999999998</v>
      </c>
      <c r="V200">
        <f t="shared" si="23"/>
        <v>0.50784034586366222</v>
      </c>
    </row>
    <row r="201" spans="1:22" x14ac:dyDescent="0.25">
      <c r="A201" t="s">
        <v>356</v>
      </c>
      <c r="B201" s="14">
        <v>45029</v>
      </c>
      <c r="C201" s="15">
        <v>45027</v>
      </c>
      <c r="D201" s="7">
        <f t="shared" si="24"/>
        <v>-2</v>
      </c>
      <c r="E201" s="5" t="str">
        <f t="shared" si="25"/>
        <v>Q2</v>
      </c>
      <c r="F201" t="s">
        <v>648</v>
      </c>
      <c r="G201" t="s">
        <v>660</v>
      </c>
      <c r="H201" t="s">
        <v>686</v>
      </c>
      <c r="I201" t="s">
        <v>702</v>
      </c>
      <c r="J201" t="s">
        <v>710</v>
      </c>
      <c r="K201" t="s">
        <v>715</v>
      </c>
      <c r="L201" t="s">
        <v>729</v>
      </c>
      <c r="M201">
        <f t="shared" si="26"/>
        <v>1.0140315635248478E-2</v>
      </c>
      <c r="N201" t="s">
        <v>1075</v>
      </c>
      <c r="O201" s="7">
        <v>32.1</v>
      </c>
      <c r="P201" s="7">
        <v>70.599999999999994</v>
      </c>
      <c r="Q201" s="12">
        <v>0.28199999999999997</v>
      </c>
      <c r="R201">
        <v>22</v>
      </c>
      <c r="S201">
        <f t="shared" si="20"/>
        <v>1115.1975999999997</v>
      </c>
      <c r="T201">
        <f t="shared" si="21"/>
        <v>706.2</v>
      </c>
      <c r="U201">
        <f t="shared" si="22"/>
        <v>408.99759999999969</v>
      </c>
      <c r="V201">
        <f t="shared" si="23"/>
        <v>0.36674899587301818</v>
      </c>
    </row>
    <row r="202" spans="1:22" x14ac:dyDescent="0.25">
      <c r="A202" t="s">
        <v>597</v>
      </c>
      <c r="B202" s="14">
        <v>44955</v>
      </c>
      <c r="C202" s="14">
        <v>44963</v>
      </c>
      <c r="D202" s="7">
        <f t="shared" si="24"/>
        <v>8</v>
      </c>
      <c r="E202" s="5" t="str">
        <f t="shared" si="25"/>
        <v>Q1</v>
      </c>
      <c r="F202" t="s">
        <v>648</v>
      </c>
      <c r="G202" t="s">
        <v>655</v>
      </c>
      <c r="H202" t="s">
        <v>672</v>
      </c>
      <c r="I202" t="s">
        <v>701</v>
      </c>
      <c r="J202" t="s">
        <v>709</v>
      </c>
      <c r="K202" t="s">
        <v>726</v>
      </c>
      <c r="L202" t="s">
        <v>732</v>
      </c>
      <c r="M202">
        <f t="shared" si="26"/>
        <v>1.6379914780784537E-2</v>
      </c>
      <c r="N202" t="s">
        <v>1314</v>
      </c>
      <c r="O202" s="7">
        <v>41.84</v>
      </c>
      <c r="P202" s="7">
        <v>86.2</v>
      </c>
      <c r="Q202" s="12">
        <v>0.22600000000000001</v>
      </c>
      <c r="R202">
        <v>27</v>
      </c>
      <c r="S202">
        <f t="shared" si="20"/>
        <v>1801.4076000000002</v>
      </c>
      <c r="T202">
        <f t="shared" si="21"/>
        <v>1129.68</v>
      </c>
      <c r="U202">
        <f t="shared" si="22"/>
        <v>671.72760000000017</v>
      </c>
      <c r="V202">
        <f t="shared" si="23"/>
        <v>0.37289039970742882</v>
      </c>
    </row>
    <row r="203" spans="1:22" x14ac:dyDescent="0.25">
      <c r="A203" t="s">
        <v>336</v>
      </c>
      <c r="B203" s="14">
        <v>45293</v>
      </c>
      <c r="C203" s="15">
        <v>45292</v>
      </c>
      <c r="D203" s="7">
        <f t="shared" si="24"/>
        <v>-1</v>
      </c>
      <c r="E203" s="5" t="str">
        <f t="shared" si="25"/>
        <v>Q1</v>
      </c>
      <c r="F203" t="s">
        <v>648</v>
      </c>
      <c r="G203" t="s">
        <v>660</v>
      </c>
      <c r="H203" t="s">
        <v>677</v>
      </c>
      <c r="I203" t="s">
        <v>702</v>
      </c>
      <c r="J203" t="s">
        <v>711</v>
      </c>
      <c r="K203" t="s">
        <v>717</v>
      </c>
      <c r="L203" t="s">
        <v>729</v>
      </c>
      <c r="M203">
        <f t="shared" si="26"/>
        <v>6.8133643896722176E-2</v>
      </c>
      <c r="N203" t="s">
        <v>1055</v>
      </c>
      <c r="O203" s="7">
        <v>404.77</v>
      </c>
      <c r="P203" s="7">
        <v>433.88</v>
      </c>
      <c r="Q203" s="12">
        <v>0.215</v>
      </c>
      <c r="R203">
        <v>22</v>
      </c>
      <c r="S203">
        <f t="shared" si="20"/>
        <v>7493.1076000000012</v>
      </c>
      <c r="T203">
        <f t="shared" si="21"/>
        <v>8904.9399999999987</v>
      </c>
      <c r="U203">
        <f t="shared" si="22"/>
        <v>-1411.8323999999975</v>
      </c>
      <c r="V203">
        <f t="shared" si="23"/>
        <v>-0.18841747314558746</v>
      </c>
    </row>
    <row r="204" spans="1:22" x14ac:dyDescent="0.25">
      <c r="A204" t="s">
        <v>236</v>
      </c>
      <c r="B204" s="14">
        <v>45194</v>
      </c>
      <c r="C204" s="14">
        <v>45201</v>
      </c>
      <c r="D204" s="7">
        <f t="shared" si="24"/>
        <v>7</v>
      </c>
      <c r="E204" s="5" t="str">
        <f t="shared" si="25"/>
        <v>Q3</v>
      </c>
      <c r="F204" t="s">
        <v>648</v>
      </c>
      <c r="G204" t="s">
        <v>660</v>
      </c>
      <c r="H204" t="s">
        <v>700</v>
      </c>
      <c r="I204" t="s">
        <v>702</v>
      </c>
      <c r="J204" t="s">
        <v>710</v>
      </c>
      <c r="K204" t="s">
        <v>714</v>
      </c>
      <c r="L204" t="s">
        <v>733</v>
      </c>
      <c r="M204">
        <f t="shared" si="26"/>
        <v>8.256637019739034E-3</v>
      </c>
      <c r="N204" t="s">
        <v>955</v>
      </c>
      <c r="O204" s="7">
        <v>145.58000000000001</v>
      </c>
      <c r="P204" s="7">
        <v>228.15</v>
      </c>
      <c r="Q204" s="12">
        <v>0.20399999999999999</v>
      </c>
      <c r="R204">
        <v>5</v>
      </c>
      <c r="S204">
        <f t="shared" si="20"/>
        <v>908.03700000000003</v>
      </c>
      <c r="T204">
        <f t="shared" si="21"/>
        <v>727.90000000000009</v>
      </c>
      <c r="U204">
        <f t="shared" si="22"/>
        <v>180.13699999999994</v>
      </c>
      <c r="V204">
        <f t="shared" si="23"/>
        <v>0.19838068272548359</v>
      </c>
    </row>
    <row r="205" spans="1:22" x14ac:dyDescent="0.25">
      <c r="A205" t="s">
        <v>344</v>
      </c>
      <c r="B205" s="14">
        <v>45221</v>
      </c>
      <c r="C205" s="14">
        <v>45246</v>
      </c>
      <c r="D205" s="7">
        <f t="shared" si="24"/>
        <v>25</v>
      </c>
      <c r="E205" s="5" t="str">
        <f t="shared" si="25"/>
        <v>Q4</v>
      </c>
      <c r="F205" t="s">
        <v>648</v>
      </c>
      <c r="G205" t="s">
        <v>653</v>
      </c>
      <c r="H205" t="s">
        <v>667</v>
      </c>
      <c r="I205" t="s">
        <v>705</v>
      </c>
      <c r="J205" t="s">
        <v>709</v>
      </c>
      <c r="K205" t="s">
        <v>714</v>
      </c>
      <c r="L205" t="s">
        <v>731</v>
      </c>
      <c r="M205">
        <f t="shared" si="26"/>
        <v>0.25238485214486761</v>
      </c>
      <c r="N205" t="s">
        <v>1063</v>
      </c>
      <c r="O205" s="7">
        <v>1373.31</v>
      </c>
      <c r="P205" s="7">
        <v>3154.14</v>
      </c>
      <c r="Q205" s="12">
        <v>0.2</v>
      </c>
      <c r="R205">
        <v>11</v>
      </c>
      <c r="S205">
        <f t="shared" si="20"/>
        <v>27756.432000000001</v>
      </c>
      <c r="T205">
        <f t="shared" si="21"/>
        <v>15106.41</v>
      </c>
      <c r="U205">
        <f t="shared" si="22"/>
        <v>12650.022000000001</v>
      </c>
      <c r="V205">
        <f t="shared" si="23"/>
        <v>0.45575101295440279</v>
      </c>
    </row>
    <row r="206" spans="1:22" x14ac:dyDescent="0.25">
      <c r="A206" t="s">
        <v>149</v>
      </c>
      <c r="B206" s="14">
        <v>45647</v>
      </c>
      <c r="C206" s="14">
        <v>45652</v>
      </c>
      <c r="D206" s="7">
        <f t="shared" si="24"/>
        <v>5</v>
      </c>
      <c r="E206" s="5" t="str">
        <f t="shared" si="25"/>
        <v>Q4</v>
      </c>
      <c r="F206" t="s">
        <v>648</v>
      </c>
      <c r="G206" t="s">
        <v>660</v>
      </c>
      <c r="H206" t="s">
        <v>686</v>
      </c>
      <c r="I206" t="s">
        <v>704</v>
      </c>
      <c r="J206" t="s">
        <v>709</v>
      </c>
      <c r="K206" t="s">
        <v>724</v>
      </c>
      <c r="L206" t="s">
        <v>728</v>
      </c>
      <c r="M206">
        <f t="shared" si="26"/>
        <v>0.10940045351430636</v>
      </c>
      <c r="N206" t="s">
        <v>868</v>
      </c>
      <c r="O206" s="7">
        <v>699.57</v>
      </c>
      <c r="P206" s="7">
        <v>572.71</v>
      </c>
      <c r="Q206" s="12">
        <v>0.192</v>
      </c>
      <c r="R206">
        <v>26</v>
      </c>
      <c r="S206">
        <f t="shared" si="20"/>
        <v>12031.491680000001</v>
      </c>
      <c r="T206">
        <f t="shared" si="21"/>
        <v>18188.82</v>
      </c>
      <c r="U206">
        <f t="shared" si="22"/>
        <v>-6157.3283199999987</v>
      </c>
      <c r="V206">
        <f t="shared" si="23"/>
        <v>-0.51176765805651114</v>
      </c>
    </row>
    <row r="207" spans="1:22" x14ac:dyDescent="0.25">
      <c r="A207" t="s">
        <v>636</v>
      </c>
      <c r="B207" s="14">
        <v>45764</v>
      </c>
      <c r="C207" s="14">
        <v>45780</v>
      </c>
      <c r="D207" s="7">
        <f t="shared" si="24"/>
        <v>16</v>
      </c>
      <c r="E207" s="5" t="str">
        <f t="shared" si="25"/>
        <v>Q2</v>
      </c>
      <c r="F207" t="s">
        <v>648</v>
      </c>
      <c r="G207" t="s">
        <v>655</v>
      </c>
      <c r="H207" t="s">
        <v>692</v>
      </c>
      <c r="I207" t="s">
        <v>704</v>
      </c>
      <c r="J207" t="s">
        <v>710</v>
      </c>
      <c r="K207" t="s">
        <v>713</v>
      </c>
      <c r="L207" t="s">
        <v>729</v>
      </c>
      <c r="M207">
        <f t="shared" si="26"/>
        <v>2.1415564535388357E-2</v>
      </c>
      <c r="N207" t="s">
        <v>1353</v>
      </c>
      <c r="O207" s="7">
        <v>168.68</v>
      </c>
      <c r="P207" s="7">
        <v>413.34</v>
      </c>
      <c r="Q207" s="12">
        <v>0.186</v>
      </c>
      <c r="R207">
        <v>7</v>
      </c>
      <c r="S207">
        <f t="shared" si="20"/>
        <v>2355.2113199999999</v>
      </c>
      <c r="T207">
        <f t="shared" si="21"/>
        <v>1180.76</v>
      </c>
      <c r="U207">
        <f t="shared" si="22"/>
        <v>1174.4513199999999</v>
      </c>
      <c r="V207">
        <f t="shared" si="23"/>
        <v>0.49866069767361682</v>
      </c>
    </row>
    <row r="208" spans="1:22" x14ac:dyDescent="0.25">
      <c r="A208" t="s">
        <v>59</v>
      </c>
      <c r="B208" s="14">
        <v>45432</v>
      </c>
      <c r="C208" s="14">
        <v>45445</v>
      </c>
      <c r="D208" s="7">
        <f t="shared" si="24"/>
        <v>13</v>
      </c>
      <c r="E208" s="5" t="str">
        <f t="shared" si="25"/>
        <v>Q2</v>
      </c>
      <c r="F208" t="s">
        <v>648</v>
      </c>
      <c r="G208" t="s">
        <v>653</v>
      </c>
      <c r="H208" t="s">
        <v>688</v>
      </c>
      <c r="I208" t="s">
        <v>706</v>
      </c>
      <c r="J208" t="s">
        <v>711</v>
      </c>
      <c r="K208" t="s">
        <v>723</v>
      </c>
      <c r="L208" t="s">
        <v>727</v>
      </c>
      <c r="M208">
        <f t="shared" si="26"/>
        <v>0.16303915497532082</v>
      </c>
      <c r="N208" t="s">
        <v>778</v>
      </c>
      <c r="O208" s="7">
        <v>675.43</v>
      </c>
      <c r="P208" s="7">
        <v>996.36</v>
      </c>
      <c r="Q208" s="12">
        <v>0.182</v>
      </c>
      <c r="R208">
        <v>22</v>
      </c>
      <c r="S208">
        <f t="shared" si="20"/>
        <v>17930.494560000003</v>
      </c>
      <c r="T208">
        <f t="shared" si="21"/>
        <v>14859.46</v>
      </c>
      <c r="U208">
        <f t="shared" si="22"/>
        <v>3071.0345600000037</v>
      </c>
      <c r="V208">
        <f t="shared" si="23"/>
        <v>0.17127439233332575</v>
      </c>
    </row>
    <row r="209" spans="1:22" x14ac:dyDescent="0.25">
      <c r="A209" t="s">
        <v>416</v>
      </c>
      <c r="B209" s="14">
        <v>45516</v>
      </c>
      <c r="C209" s="14">
        <v>45519</v>
      </c>
      <c r="D209" s="7">
        <f t="shared" si="24"/>
        <v>3</v>
      </c>
      <c r="E209" s="5" t="str">
        <f t="shared" si="25"/>
        <v>Q3</v>
      </c>
      <c r="F209" t="s">
        <v>648</v>
      </c>
      <c r="G209" t="s">
        <v>660</v>
      </c>
      <c r="H209" t="s">
        <v>677</v>
      </c>
      <c r="I209" t="s">
        <v>701</v>
      </c>
      <c r="J209" t="s">
        <v>710</v>
      </c>
      <c r="K209" t="s">
        <v>726</v>
      </c>
      <c r="L209" t="s">
        <v>728</v>
      </c>
      <c r="M209">
        <f t="shared" si="26"/>
        <v>0.15846245696681194</v>
      </c>
      <c r="N209" t="s">
        <v>1134</v>
      </c>
      <c r="O209" s="7">
        <v>850.7</v>
      </c>
      <c r="P209" s="7">
        <v>1118.56</v>
      </c>
      <c r="Q209" s="12">
        <v>0.18</v>
      </c>
      <c r="R209">
        <v>19</v>
      </c>
      <c r="S209">
        <f t="shared" si="20"/>
        <v>17427.164800000002</v>
      </c>
      <c r="T209">
        <f t="shared" si="21"/>
        <v>16163.300000000001</v>
      </c>
      <c r="U209">
        <f t="shared" si="22"/>
        <v>1263.8648000000012</v>
      </c>
      <c r="V209">
        <f t="shared" si="23"/>
        <v>7.2522685962090688E-2</v>
      </c>
    </row>
    <row r="210" spans="1:22" x14ac:dyDescent="0.25">
      <c r="A210" t="s">
        <v>564</v>
      </c>
      <c r="B210" s="14">
        <v>45486</v>
      </c>
      <c r="C210" s="14">
        <v>45507</v>
      </c>
      <c r="D210" s="7">
        <f t="shared" si="24"/>
        <v>21</v>
      </c>
      <c r="E210" s="5" t="str">
        <f t="shared" si="25"/>
        <v>Q3</v>
      </c>
      <c r="F210" t="s">
        <v>648</v>
      </c>
      <c r="G210" t="s">
        <v>655</v>
      </c>
      <c r="H210" t="s">
        <v>692</v>
      </c>
      <c r="I210" t="s">
        <v>701</v>
      </c>
      <c r="J210" t="s">
        <v>709</v>
      </c>
      <c r="K210" t="s">
        <v>724</v>
      </c>
      <c r="L210" t="s">
        <v>732</v>
      </c>
      <c r="M210">
        <f t="shared" si="26"/>
        <v>9.9453141817058208E-2</v>
      </c>
      <c r="N210" t="s">
        <v>1281</v>
      </c>
      <c r="O210" s="7">
        <v>702.98</v>
      </c>
      <c r="P210" s="7">
        <v>1104.8</v>
      </c>
      <c r="Q210" s="12">
        <v>0.17499999999999999</v>
      </c>
      <c r="R210">
        <v>12</v>
      </c>
      <c r="S210">
        <f t="shared" si="20"/>
        <v>10937.519999999999</v>
      </c>
      <c r="T210">
        <f t="shared" si="21"/>
        <v>8435.76</v>
      </c>
      <c r="U210">
        <f t="shared" si="22"/>
        <v>2501.7599999999984</v>
      </c>
      <c r="V210">
        <f t="shared" si="23"/>
        <v>0.22873192460448061</v>
      </c>
    </row>
    <row r="211" spans="1:22" x14ac:dyDescent="0.25">
      <c r="A211" t="s">
        <v>229</v>
      </c>
      <c r="B211" s="14">
        <v>45240</v>
      </c>
      <c r="C211" s="14">
        <v>45258</v>
      </c>
      <c r="D211" s="7">
        <f t="shared" si="24"/>
        <v>18</v>
      </c>
      <c r="E211" s="5" t="str">
        <f t="shared" si="25"/>
        <v>Q4</v>
      </c>
      <c r="F211" t="s">
        <v>648</v>
      </c>
      <c r="G211" t="s">
        <v>655</v>
      </c>
      <c r="H211" t="s">
        <v>672</v>
      </c>
      <c r="I211" t="s">
        <v>702</v>
      </c>
      <c r="J211" t="s">
        <v>711</v>
      </c>
      <c r="K211" t="s">
        <v>716</v>
      </c>
      <c r="L211" t="s">
        <v>733</v>
      </c>
      <c r="M211">
        <f t="shared" si="26"/>
        <v>7.1421267872989663E-2</v>
      </c>
      <c r="N211" t="s">
        <v>948</v>
      </c>
      <c r="O211" s="7">
        <v>388.51</v>
      </c>
      <c r="P211" s="7">
        <v>776.46</v>
      </c>
      <c r="Q211" s="12">
        <v>0.157</v>
      </c>
      <c r="R211">
        <v>12</v>
      </c>
      <c r="S211">
        <f t="shared" si="20"/>
        <v>7854.6693599999999</v>
      </c>
      <c r="T211">
        <f t="shared" si="21"/>
        <v>4662.12</v>
      </c>
      <c r="U211">
        <f t="shared" si="22"/>
        <v>3192.54936</v>
      </c>
      <c r="V211">
        <f t="shared" si="23"/>
        <v>0.40645241876864946</v>
      </c>
    </row>
    <row r="212" spans="1:22" x14ac:dyDescent="0.25">
      <c r="A212" t="s">
        <v>86</v>
      </c>
      <c r="B212" s="14">
        <v>45756</v>
      </c>
      <c r="C212" s="14">
        <v>45783</v>
      </c>
      <c r="D212" s="7">
        <f t="shared" si="24"/>
        <v>27</v>
      </c>
      <c r="E212" s="5" t="str">
        <f t="shared" si="25"/>
        <v>Q2</v>
      </c>
      <c r="F212" t="s">
        <v>648</v>
      </c>
      <c r="G212" t="s">
        <v>655</v>
      </c>
      <c r="H212" t="s">
        <v>672</v>
      </c>
      <c r="I212" t="s">
        <v>706</v>
      </c>
      <c r="J212" t="s">
        <v>711</v>
      </c>
      <c r="K212" t="s">
        <v>721</v>
      </c>
      <c r="L212" t="s">
        <v>731</v>
      </c>
      <c r="M212">
        <f t="shared" si="26"/>
        <v>5.8131405614051938E-2</v>
      </c>
      <c r="N212" t="s">
        <v>805</v>
      </c>
      <c r="O212" s="7">
        <v>264.19</v>
      </c>
      <c r="P212" s="7">
        <v>620.92999999999995</v>
      </c>
      <c r="Q212" s="12">
        <v>0.14199999999999999</v>
      </c>
      <c r="R212">
        <v>12</v>
      </c>
      <c r="S212">
        <f t="shared" si="20"/>
        <v>6393.0952799999995</v>
      </c>
      <c r="T212">
        <f t="shared" si="21"/>
        <v>3170.2799999999997</v>
      </c>
      <c r="U212">
        <f t="shared" si="22"/>
        <v>3222.8152799999998</v>
      </c>
      <c r="V212">
        <f t="shared" si="23"/>
        <v>0.50410875152794532</v>
      </c>
    </row>
    <row r="213" spans="1:22" x14ac:dyDescent="0.25">
      <c r="A213" t="s">
        <v>290</v>
      </c>
      <c r="B213" s="14">
        <v>45316</v>
      </c>
      <c r="C213" s="14">
        <v>45318</v>
      </c>
      <c r="D213" s="7">
        <f t="shared" si="24"/>
        <v>2</v>
      </c>
      <c r="E213" s="5" t="str">
        <f t="shared" si="25"/>
        <v>Q1</v>
      </c>
      <c r="F213" t="s">
        <v>648</v>
      </c>
      <c r="G213" t="s">
        <v>655</v>
      </c>
      <c r="H213" t="s">
        <v>670</v>
      </c>
      <c r="I213" t="s">
        <v>703</v>
      </c>
      <c r="J213" t="s">
        <v>711</v>
      </c>
      <c r="K213" t="s">
        <v>725</v>
      </c>
      <c r="L213" t="s">
        <v>731</v>
      </c>
      <c r="M213">
        <f t="shared" si="26"/>
        <v>7.7901946812888201E-2</v>
      </c>
      <c r="N213" t="s">
        <v>1009</v>
      </c>
      <c r="O213" s="7">
        <v>1410.97</v>
      </c>
      <c r="P213" s="7">
        <v>1650.75</v>
      </c>
      <c r="Q213" s="12">
        <v>0.13500000000000001</v>
      </c>
      <c r="R213">
        <v>6</v>
      </c>
      <c r="S213">
        <f t="shared" si="20"/>
        <v>8567.3924999999999</v>
      </c>
      <c r="T213">
        <f t="shared" si="21"/>
        <v>8465.82</v>
      </c>
      <c r="U213">
        <f t="shared" si="22"/>
        <v>101.57250000000022</v>
      </c>
      <c r="V213">
        <f t="shared" si="23"/>
        <v>1.1855707556295596E-2</v>
      </c>
    </row>
    <row r="214" spans="1:22" x14ac:dyDescent="0.25">
      <c r="A214" t="s">
        <v>243</v>
      </c>
      <c r="B214" s="14">
        <v>45879</v>
      </c>
      <c r="C214" s="14">
        <v>45899</v>
      </c>
      <c r="D214" s="7">
        <f t="shared" si="24"/>
        <v>20</v>
      </c>
      <c r="E214" s="5" t="str">
        <f t="shared" si="25"/>
        <v>Q3</v>
      </c>
      <c r="F214" t="s">
        <v>648</v>
      </c>
      <c r="G214" t="s">
        <v>660</v>
      </c>
      <c r="H214" t="s">
        <v>686</v>
      </c>
      <c r="I214" t="s">
        <v>701</v>
      </c>
      <c r="J214" t="s">
        <v>707</v>
      </c>
      <c r="K214" t="s">
        <v>723</v>
      </c>
      <c r="L214" t="s">
        <v>728</v>
      </c>
      <c r="M214">
        <f t="shared" si="26"/>
        <v>0.15102383938766084</v>
      </c>
      <c r="N214" t="s">
        <v>962</v>
      </c>
      <c r="O214" s="7">
        <v>933.29</v>
      </c>
      <c r="P214" s="7">
        <v>1456.81</v>
      </c>
      <c r="Q214" s="12">
        <v>0.123</v>
      </c>
      <c r="R214">
        <v>13</v>
      </c>
      <c r="S214">
        <f t="shared" si="20"/>
        <v>16609.090809999998</v>
      </c>
      <c r="T214">
        <f t="shared" si="21"/>
        <v>12132.77</v>
      </c>
      <c r="U214">
        <f t="shared" si="22"/>
        <v>4476.3208099999974</v>
      </c>
      <c r="V214">
        <f t="shared" si="23"/>
        <v>0.26951028573489977</v>
      </c>
    </row>
    <row r="215" spans="1:22" x14ac:dyDescent="0.25">
      <c r="A215" t="s">
        <v>268</v>
      </c>
      <c r="B215" s="14">
        <v>45502</v>
      </c>
      <c r="C215" s="14">
        <v>45504</v>
      </c>
      <c r="D215" s="7">
        <f t="shared" si="24"/>
        <v>2</v>
      </c>
      <c r="E215" s="5" t="str">
        <f t="shared" si="25"/>
        <v>Q3</v>
      </c>
      <c r="F215" t="s">
        <v>648</v>
      </c>
      <c r="G215" t="s">
        <v>660</v>
      </c>
      <c r="H215" t="s">
        <v>700</v>
      </c>
      <c r="I215" t="s">
        <v>702</v>
      </c>
      <c r="J215" t="s">
        <v>711</v>
      </c>
      <c r="K215" t="s">
        <v>714</v>
      </c>
      <c r="L215" t="s">
        <v>728</v>
      </c>
      <c r="M215">
        <f t="shared" si="26"/>
        <v>0.23172121290882028</v>
      </c>
      <c r="N215" t="s">
        <v>987</v>
      </c>
      <c r="O215" s="7">
        <v>798.97</v>
      </c>
      <c r="P215" s="7">
        <v>1814.06</v>
      </c>
      <c r="Q215" s="12">
        <v>0.122</v>
      </c>
      <c r="R215">
        <v>16</v>
      </c>
      <c r="S215">
        <f t="shared" si="20"/>
        <v>25483.91488</v>
      </c>
      <c r="T215">
        <f t="shared" si="21"/>
        <v>12783.52</v>
      </c>
      <c r="U215">
        <f t="shared" si="22"/>
        <v>12700.39488</v>
      </c>
      <c r="V215">
        <f t="shared" si="23"/>
        <v>0.49836906691159061</v>
      </c>
    </row>
    <row r="216" spans="1:22" x14ac:dyDescent="0.25">
      <c r="A216" t="s">
        <v>384</v>
      </c>
      <c r="B216" s="14">
        <v>45832</v>
      </c>
      <c r="C216" s="14">
        <v>45861</v>
      </c>
      <c r="D216" s="7">
        <f t="shared" si="24"/>
        <v>29</v>
      </c>
      <c r="E216" s="5" t="str">
        <f t="shared" si="25"/>
        <v>Q2</v>
      </c>
      <c r="F216" t="s">
        <v>648</v>
      </c>
      <c r="G216" t="s">
        <v>653</v>
      </c>
      <c r="H216" t="s">
        <v>688</v>
      </c>
      <c r="I216" t="s">
        <v>703</v>
      </c>
      <c r="J216" t="s">
        <v>711</v>
      </c>
      <c r="K216" t="s">
        <v>714</v>
      </c>
      <c r="L216" t="s">
        <v>728</v>
      </c>
      <c r="M216">
        <f t="shared" si="26"/>
        <v>4.1550410996668827E-2</v>
      </c>
      <c r="N216" t="s">
        <v>1103</v>
      </c>
      <c r="O216" s="7">
        <v>255.4</v>
      </c>
      <c r="P216" s="7">
        <v>322.70999999999998</v>
      </c>
      <c r="Q216" s="12">
        <v>0.115</v>
      </c>
      <c r="R216">
        <v>16</v>
      </c>
      <c r="S216">
        <f t="shared" si="20"/>
        <v>4569.5735999999997</v>
      </c>
      <c r="T216">
        <f t="shared" si="21"/>
        <v>4086.4</v>
      </c>
      <c r="U216">
        <f t="shared" si="22"/>
        <v>483.17359999999962</v>
      </c>
      <c r="V216">
        <f t="shared" si="23"/>
        <v>0.10573713048412212</v>
      </c>
    </row>
    <row r="217" spans="1:22" x14ac:dyDescent="0.25">
      <c r="A217" t="s">
        <v>470</v>
      </c>
      <c r="B217" s="14">
        <v>45653</v>
      </c>
      <c r="C217" s="14">
        <v>45655</v>
      </c>
      <c r="D217" s="7">
        <f t="shared" si="24"/>
        <v>2</v>
      </c>
      <c r="E217" s="5" t="str">
        <f t="shared" si="25"/>
        <v>Q4</v>
      </c>
      <c r="F217" t="s">
        <v>648</v>
      </c>
      <c r="G217" t="s">
        <v>653</v>
      </c>
      <c r="H217" t="s">
        <v>688</v>
      </c>
      <c r="I217" t="s">
        <v>706</v>
      </c>
      <c r="J217" t="s">
        <v>711</v>
      </c>
      <c r="K217" t="s">
        <v>712</v>
      </c>
      <c r="L217" t="s">
        <v>733</v>
      </c>
      <c r="M217">
        <f t="shared" si="26"/>
        <v>0.13414402624723126</v>
      </c>
      <c r="N217" t="s">
        <v>1188</v>
      </c>
      <c r="O217" s="7">
        <v>1146.72</v>
      </c>
      <c r="P217" s="7">
        <v>2074.34</v>
      </c>
      <c r="Q217" s="12">
        <v>0.111</v>
      </c>
      <c r="R217">
        <v>8</v>
      </c>
      <c r="S217">
        <f t="shared" si="20"/>
        <v>14752.706080000002</v>
      </c>
      <c r="T217">
        <f t="shared" si="21"/>
        <v>9173.76</v>
      </c>
      <c r="U217">
        <f t="shared" si="22"/>
        <v>5578.9460800000015</v>
      </c>
      <c r="V217">
        <f t="shared" si="23"/>
        <v>0.37816425337472737</v>
      </c>
    </row>
    <row r="218" spans="1:22" x14ac:dyDescent="0.25">
      <c r="A218" t="s">
        <v>419</v>
      </c>
      <c r="B218" s="14">
        <v>45677</v>
      </c>
      <c r="C218" s="14">
        <v>45691</v>
      </c>
      <c r="D218" s="7">
        <f t="shared" si="24"/>
        <v>14</v>
      </c>
      <c r="E218" s="5" t="str">
        <f t="shared" si="25"/>
        <v>Q1</v>
      </c>
      <c r="F218" t="s">
        <v>648</v>
      </c>
      <c r="G218" t="s">
        <v>655</v>
      </c>
      <c r="H218" t="s">
        <v>672</v>
      </c>
      <c r="I218" t="s">
        <v>706</v>
      </c>
      <c r="J218" t="s">
        <v>711</v>
      </c>
      <c r="K218" t="s">
        <v>721</v>
      </c>
      <c r="L218" t="s">
        <v>727</v>
      </c>
      <c r="M218">
        <f t="shared" si="26"/>
        <v>7.1215148965181857E-2</v>
      </c>
      <c r="N218" t="s">
        <v>1137</v>
      </c>
      <c r="O218" s="7">
        <v>974.11</v>
      </c>
      <c r="P218" s="7">
        <v>880.99</v>
      </c>
      <c r="Q218" s="12">
        <v>0.111</v>
      </c>
      <c r="R218">
        <v>10</v>
      </c>
      <c r="S218">
        <f t="shared" si="20"/>
        <v>7832.0010999999995</v>
      </c>
      <c r="T218">
        <f t="shared" si="21"/>
        <v>9741.1</v>
      </c>
      <c r="U218">
        <f t="shared" si="22"/>
        <v>-1909.0989000000009</v>
      </c>
      <c r="V218">
        <f t="shared" si="23"/>
        <v>-0.2437562093805121</v>
      </c>
    </row>
    <row r="219" spans="1:22" x14ac:dyDescent="0.25">
      <c r="A219" t="s">
        <v>33</v>
      </c>
      <c r="B219" s="14">
        <v>45858</v>
      </c>
      <c r="C219" s="14">
        <v>45874</v>
      </c>
      <c r="D219" s="7">
        <f t="shared" si="24"/>
        <v>16</v>
      </c>
      <c r="E219" s="5" t="str">
        <f t="shared" si="25"/>
        <v>Q3</v>
      </c>
      <c r="F219" t="s">
        <v>648</v>
      </c>
      <c r="G219" t="s">
        <v>655</v>
      </c>
      <c r="H219" t="s">
        <v>672</v>
      </c>
      <c r="I219" t="s">
        <v>706</v>
      </c>
      <c r="J219" t="s">
        <v>710</v>
      </c>
      <c r="K219" t="s">
        <v>715</v>
      </c>
      <c r="L219" t="s">
        <v>733</v>
      </c>
      <c r="M219">
        <f t="shared" si="26"/>
        <v>0.34640258449885641</v>
      </c>
      <c r="N219" t="s">
        <v>752</v>
      </c>
      <c r="O219" s="7">
        <v>1068.17</v>
      </c>
      <c r="P219" s="7">
        <v>2375.37</v>
      </c>
      <c r="Q219" s="12">
        <v>0.109</v>
      </c>
      <c r="R219">
        <v>18</v>
      </c>
      <c r="S219">
        <f t="shared" si="20"/>
        <v>38096.18406</v>
      </c>
      <c r="T219">
        <f t="shared" si="21"/>
        <v>19227.060000000001</v>
      </c>
      <c r="U219">
        <f t="shared" si="22"/>
        <v>18869.124059999998</v>
      </c>
      <c r="V219">
        <f t="shared" si="23"/>
        <v>0.49530220744108822</v>
      </c>
    </row>
    <row r="220" spans="1:22" x14ac:dyDescent="0.25">
      <c r="A220" t="s">
        <v>417</v>
      </c>
      <c r="B220" s="14">
        <v>45601</v>
      </c>
      <c r="C220" s="14">
        <v>45604</v>
      </c>
      <c r="D220" s="7">
        <f t="shared" si="24"/>
        <v>3</v>
      </c>
      <c r="E220" s="5" t="str">
        <f t="shared" si="25"/>
        <v>Q4</v>
      </c>
      <c r="F220" t="s">
        <v>648</v>
      </c>
      <c r="G220" t="s">
        <v>653</v>
      </c>
      <c r="H220" t="s">
        <v>667</v>
      </c>
      <c r="I220" t="s">
        <v>702</v>
      </c>
      <c r="J220" t="s">
        <v>708</v>
      </c>
      <c r="K220" t="s">
        <v>719</v>
      </c>
      <c r="L220" t="s">
        <v>727</v>
      </c>
      <c r="M220">
        <f t="shared" si="26"/>
        <v>0.15408813652531952</v>
      </c>
      <c r="N220" t="s">
        <v>1135</v>
      </c>
      <c r="O220" s="7">
        <v>1020.4</v>
      </c>
      <c r="P220" s="7">
        <v>1184.71</v>
      </c>
      <c r="Q220" s="12">
        <v>0.106</v>
      </c>
      <c r="R220">
        <v>16</v>
      </c>
      <c r="S220">
        <f t="shared" si="20"/>
        <v>16946.091840000001</v>
      </c>
      <c r="T220">
        <f t="shared" si="21"/>
        <v>16326.4</v>
      </c>
      <c r="U220">
        <f t="shared" si="22"/>
        <v>619.69184000000132</v>
      </c>
      <c r="V220">
        <f t="shared" si="23"/>
        <v>3.6568422138328345E-2</v>
      </c>
    </row>
    <row r="221" spans="1:22" x14ac:dyDescent="0.25">
      <c r="A221" t="s">
        <v>383</v>
      </c>
      <c r="B221" s="14">
        <v>45194</v>
      </c>
      <c r="C221" s="14">
        <v>45208</v>
      </c>
      <c r="D221" s="7">
        <f t="shared" si="24"/>
        <v>14</v>
      </c>
      <c r="E221" s="5" t="str">
        <f t="shared" si="25"/>
        <v>Q3</v>
      </c>
      <c r="F221" t="s">
        <v>648</v>
      </c>
      <c r="G221" t="s">
        <v>660</v>
      </c>
      <c r="H221" t="s">
        <v>700</v>
      </c>
      <c r="I221" t="s">
        <v>705</v>
      </c>
      <c r="J221" t="s">
        <v>707</v>
      </c>
      <c r="K221" t="s">
        <v>713</v>
      </c>
      <c r="L221" t="s">
        <v>731</v>
      </c>
      <c r="M221">
        <f t="shared" si="26"/>
        <v>0.12534106327096409</v>
      </c>
      <c r="N221" t="s">
        <v>1102</v>
      </c>
      <c r="O221" s="7">
        <v>1279.56</v>
      </c>
      <c r="P221" s="7">
        <v>3083.8</v>
      </c>
      <c r="Q221" s="12">
        <v>0.106</v>
      </c>
      <c r="R221">
        <v>5</v>
      </c>
      <c r="S221">
        <f t="shared" si="20"/>
        <v>13784.586000000001</v>
      </c>
      <c r="T221">
        <f t="shared" si="21"/>
        <v>6397.7999999999993</v>
      </c>
      <c r="U221">
        <f t="shared" si="22"/>
        <v>7386.7860000000019</v>
      </c>
      <c r="V221">
        <f t="shared" si="23"/>
        <v>0.53587289455047848</v>
      </c>
    </row>
    <row r="222" spans="1:22" x14ac:dyDescent="0.25">
      <c r="A222" t="s">
        <v>398</v>
      </c>
      <c r="B222" s="14">
        <v>45097</v>
      </c>
      <c r="C222" s="14">
        <v>45115</v>
      </c>
      <c r="D222" s="7">
        <f t="shared" si="24"/>
        <v>18</v>
      </c>
      <c r="E222" s="5" t="str">
        <f t="shared" si="25"/>
        <v>Q2</v>
      </c>
      <c r="F222" t="s">
        <v>648</v>
      </c>
      <c r="G222" t="s">
        <v>660</v>
      </c>
      <c r="H222" t="s">
        <v>700</v>
      </c>
      <c r="I222" t="s">
        <v>704</v>
      </c>
      <c r="J222" t="s">
        <v>711</v>
      </c>
      <c r="K222" t="s">
        <v>719</v>
      </c>
      <c r="L222" t="s">
        <v>729</v>
      </c>
      <c r="M222">
        <f t="shared" si="26"/>
        <v>0.43366830768792697</v>
      </c>
      <c r="N222" t="s">
        <v>1116</v>
      </c>
      <c r="O222" s="7">
        <v>1145.53</v>
      </c>
      <c r="P222" s="7">
        <v>1278.3</v>
      </c>
      <c r="Q222" s="12">
        <v>0.09</v>
      </c>
      <c r="R222">
        <v>41</v>
      </c>
      <c r="S222">
        <f t="shared" si="20"/>
        <v>47693.373</v>
      </c>
      <c r="T222">
        <f t="shared" si="21"/>
        <v>46966.729999999996</v>
      </c>
      <c r="U222">
        <f t="shared" si="22"/>
        <v>726.64300000000367</v>
      </c>
      <c r="V222">
        <f t="shared" si="23"/>
        <v>1.5235722581416158E-2</v>
      </c>
    </row>
    <row r="223" spans="1:22" x14ac:dyDescent="0.25">
      <c r="A223" t="s">
        <v>430</v>
      </c>
      <c r="B223" s="14">
        <v>45167</v>
      </c>
      <c r="C223" s="14">
        <v>45182</v>
      </c>
      <c r="D223" s="7">
        <f t="shared" si="24"/>
        <v>15</v>
      </c>
      <c r="E223" s="5" t="str">
        <f t="shared" si="25"/>
        <v>Q3</v>
      </c>
      <c r="F223" t="s">
        <v>648</v>
      </c>
      <c r="G223" t="s">
        <v>653</v>
      </c>
      <c r="H223" t="s">
        <v>688</v>
      </c>
      <c r="I223" t="s">
        <v>705</v>
      </c>
      <c r="J223" t="s">
        <v>710</v>
      </c>
      <c r="K223" t="s">
        <v>719</v>
      </c>
      <c r="L223" t="s">
        <v>728</v>
      </c>
      <c r="M223">
        <f t="shared" si="26"/>
        <v>0.16741202856378565</v>
      </c>
      <c r="N223" t="s">
        <v>1148</v>
      </c>
      <c r="O223" s="7">
        <v>1287.6400000000001</v>
      </c>
      <c r="P223" s="7">
        <v>2717.15</v>
      </c>
      <c r="Q223" s="12">
        <v>3.2000000000000001E-2</v>
      </c>
      <c r="R223">
        <v>7</v>
      </c>
      <c r="S223">
        <f t="shared" si="20"/>
        <v>18411.4084</v>
      </c>
      <c r="T223">
        <f t="shared" si="21"/>
        <v>9013.4800000000014</v>
      </c>
      <c r="U223">
        <f t="shared" si="22"/>
        <v>9397.9283999999989</v>
      </c>
      <c r="V223">
        <f t="shared" si="23"/>
        <v>0.51044049405802105</v>
      </c>
    </row>
    <row r="224" spans="1:22" x14ac:dyDescent="0.25">
      <c r="A224" t="s">
        <v>436</v>
      </c>
      <c r="B224" s="14">
        <v>45713</v>
      </c>
      <c r="C224" s="14">
        <v>45733</v>
      </c>
      <c r="D224" s="7">
        <f t="shared" si="24"/>
        <v>20</v>
      </c>
      <c r="E224" s="5" t="str">
        <f t="shared" si="25"/>
        <v>Q1</v>
      </c>
      <c r="F224" t="s">
        <v>648</v>
      </c>
      <c r="G224" t="s">
        <v>660</v>
      </c>
      <c r="H224" t="s">
        <v>686</v>
      </c>
      <c r="I224" t="s">
        <v>703</v>
      </c>
      <c r="J224" t="s">
        <v>709</v>
      </c>
      <c r="K224" t="s">
        <v>722</v>
      </c>
      <c r="L224" t="s">
        <v>730</v>
      </c>
      <c r="M224">
        <f t="shared" si="26"/>
        <v>9.078944644639407E-2</v>
      </c>
      <c r="N224" t="s">
        <v>1154</v>
      </c>
      <c r="O224" s="7">
        <v>1205.26</v>
      </c>
      <c r="P224" s="7">
        <v>1696.35</v>
      </c>
      <c r="Q224" s="12">
        <v>1.9E-2</v>
      </c>
      <c r="R224">
        <v>6</v>
      </c>
      <c r="S224">
        <f t="shared" si="20"/>
        <v>9984.7160999999978</v>
      </c>
      <c r="T224">
        <f t="shared" si="21"/>
        <v>7231.5599999999995</v>
      </c>
      <c r="U224">
        <f t="shared" si="22"/>
        <v>2753.1560999999983</v>
      </c>
      <c r="V224">
        <f t="shared" si="23"/>
        <v>0.27573704374028213</v>
      </c>
    </row>
    <row r="225" spans="1:22" x14ac:dyDescent="0.25">
      <c r="A225" t="s">
        <v>469</v>
      </c>
      <c r="B225" s="14">
        <v>45070</v>
      </c>
      <c r="C225" s="14">
        <v>45098</v>
      </c>
      <c r="D225" s="7">
        <f t="shared" si="24"/>
        <v>28</v>
      </c>
      <c r="E225" s="5" t="str">
        <f t="shared" si="25"/>
        <v>Q2</v>
      </c>
      <c r="F225" t="s">
        <v>648</v>
      </c>
      <c r="G225" t="s">
        <v>660</v>
      </c>
      <c r="H225" t="s">
        <v>697</v>
      </c>
      <c r="I225" t="s">
        <v>705</v>
      </c>
      <c r="J225" t="s">
        <v>709</v>
      </c>
      <c r="K225" t="s">
        <v>715</v>
      </c>
      <c r="L225" t="s">
        <v>732</v>
      </c>
      <c r="M225">
        <f t="shared" si="26"/>
        <v>0.21033924451532277</v>
      </c>
      <c r="N225" t="s">
        <v>1187</v>
      </c>
      <c r="O225" s="7">
        <v>813.97</v>
      </c>
      <c r="P225" s="7">
        <v>1568.83</v>
      </c>
      <c r="Q225" s="12">
        <v>1.7000000000000001E-2</v>
      </c>
      <c r="R225">
        <v>15</v>
      </c>
      <c r="S225">
        <f t="shared" si="20"/>
        <v>23132.398349999996</v>
      </c>
      <c r="T225">
        <f t="shared" si="21"/>
        <v>12209.550000000001</v>
      </c>
      <c r="U225">
        <f t="shared" si="22"/>
        <v>10922.848349999995</v>
      </c>
      <c r="V225">
        <f t="shared" si="23"/>
        <v>0.4721883215364911</v>
      </c>
    </row>
    <row r="226" spans="1:22" x14ac:dyDescent="0.25">
      <c r="A226" t="s">
        <v>596</v>
      </c>
      <c r="B226" s="14">
        <v>45080</v>
      </c>
      <c r="C226" s="14">
        <v>45108</v>
      </c>
      <c r="D226" s="7">
        <f t="shared" si="24"/>
        <v>28</v>
      </c>
      <c r="E226" s="5" t="str">
        <f t="shared" si="25"/>
        <v>Q2</v>
      </c>
      <c r="F226" t="s">
        <v>648</v>
      </c>
      <c r="G226" t="s">
        <v>655</v>
      </c>
      <c r="H226" t="s">
        <v>672</v>
      </c>
      <c r="I226" t="s">
        <v>705</v>
      </c>
      <c r="J226" t="s">
        <v>711</v>
      </c>
      <c r="K226" t="s">
        <v>720</v>
      </c>
      <c r="L226" t="s">
        <v>727</v>
      </c>
      <c r="M226">
        <f t="shared" si="26"/>
        <v>5.5810064141690569E-2</v>
      </c>
      <c r="N226" t="s">
        <v>1313</v>
      </c>
      <c r="O226" s="7">
        <v>860.4</v>
      </c>
      <c r="P226" s="7">
        <v>2066.6</v>
      </c>
      <c r="Q226" s="12">
        <v>0.01</v>
      </c>
      <c r="R226">
        <v>3</v>
      </c>
      <c r="S226">
        <f t="shared" si="20"/>
        <v>6137.8019999999988</v>
      </c>
      <c r="T226">
        <f t="shared" si="21"/>
        <v>2581.1999999999998</v>
      </c>
      <c r="U226">
        <f t="shared" si="22"/>
        <v>3556.601999999999</v>
      </c>
      <c r="V226">
        <f t="shared" si="23"/>
        <v>0.57945857491004105</v>
      </c>
    </row>
    <row r="227" spans="1:22" x14ac:dyDescent="0.25">
      <c r="A227" t="s">
        <v>601</v>
      </c>
      <c r="B227" s="14">
        <v>45049</v>
      </c>
      <c r="C227" s="14">
        <v>45062</v>
      </c>
      <c r="D227" s="7">
        <f t="shared" si="24"/>
        <v>13</v>
      </c>
      <c r="E227" s="5" t="str">
        <f t="shared" si="25"/>
        <v>Q2</v>
      </c>
      <c r="F227" t="s">
        <v>648</v>
      </c>
      <c r="G227" t="s">
        <v>660</v>
      </c>
      <c r="H227" t="s">
        <v>700</v>
      </c>
      <c r="I227" t="s">
        <v>701</v>
      </c>
      <c r="J227" t="s">
        <v>711</v>
      </c>
      <c r="K227" t="s">
        <v>716</v>
      </c>
      <c r="L227" t="s">
        <v>730</v>
      </c>
      <c r="M227">
        <f t="shared" si="26"/>
        <v>3.3721714039630746E-3</v>
      </c>
      <c r="N227" t="s">
        <v>1318</v>
      </c>
      <c r="O227" s="7">
        <v>64.5</v>
      </c>
      <c r="P227" s="7">
        <v>123.62</v>
      </c>
      <c r="Q227" s="12">
        <v>0</v>
      </c>
      <c r="R227">
        <v>3</v>
      </c>
      <c r="S227">
        <f t="shared" si="20"/>
        <v>370.86</v>
      </c>
      <c r="T227">
        <f t="shared" si="21"/>
        <v>193.5</v>
      </c>
      <c r="U227">
        <f t="shared" si="22"/>
        <v>177.36</v>
      </c>
      <c r="V227">
        <f t="shared" si="23"/>
        <v>0.47823976702798904</v>
      </c>
    </row>
    <row r="228" spans="1:22" x14ac:dyDescent="0.25">
      <c r="A228" t="s">
        <v>343</v>
      </c>
      <c r="B228" s="14">
        <v>45796</v>
      </c>
      <c r="C228" s="15">
        <v>45794</v>
      </c>
      <c r="D228" s="7">
        <f t="shared" si="24"/>
        <v>-2</v>
      </c>
      <c r="E228" s="5" t="str">
        <f t="shared" si="25"/>
        <v>Q2</v>
      </c>
      <c r="F228" t="s">
        <v>648</v>
      </c>
      <c r="G228" t="s">
        <v>655</v>
      </c>
      <c r="H228" t="s">
        <v>670</v>
      </c>
      <c r="I228" t="s">
        <v>705</v>
      </c>
      <c r="J228" t="s">
        <v>711</v>
      </c>
      <c r="K228" t="s">
        <v>716</v>
      </c>
      <c r="L228" t="s">
        <v>732</v>
      </c>
      <c r="M228">
        <f t="shared" si="26"/>
        <v>5.6646063677226695E-2</v>
      </c>
      <c r="N228" t="s">
        <v>1062</v>
      </c>
      <c r="O228" s="7">
        <v>383.77</v>
      </c>
      <c r="P228" s="7">
        <v>952.56</v>
      </c>
      <c r="Q228" s="12">
        <v>0.34599999999999997</v>
      </c>
      <c r="R228">
        <v>10</v>
      </c>
      <c r="S228">
        <f t="shared" si="20"/>
        <v>6229.7423999999992</v>
      </c>
      <c r="T228">
        <f t="shared" si="21"/>
        <v>3837.7</v>
      </c>
      <c r="U228">
        <f t="shared" si="22"/>
        <v>2392.0423999999994</v>
      </c>
      <c r="V228">
        <f t="shared" si="23"/>
        <v>0.38397131797937578</v>
      </c>
    </row>
    <row r="229" spans="1:22" x14ac:dyDescent="0.25">
      <c r="A229" t="s">
        <v>65</v>
      </c>
      <c r="B229" s="14">
        <v>45602</v>
      </c>
      <c r="C229" s="14">
        <v>45618</v>
      </c>
      <c r="D229" s="7">
        <f t="shared" si="24"/>
        <v>16</v>
      </c>
      <c r="E229" s="5" t="str">
        <f t="shared" si="25"/>
        <v>Q4</v>
      </c>
      <c r="F229" t="s">
        <v>648</v>
      </c>
      <c r="G229" t="s">
        <v>653</v>
      </c>
      <c r="H229" t="s">
        <v>667</v>
      </c>
      <c r="I229" t="s">
        <v>703</v>
      </c>
      <c r="J229" t="s">
        <v>710</v>
      </c>
      <c r="K229" t="s">
        <v>726</v>
      </c>
      <c r="L229" t="s">
        <v>733</v>
      </c>
      <c r="M229">
        <f t="shared" si="26"/>
        <v>0.13543700947412826</v>
      </c>
      <c r="N229" t="s">
        <v>784</v>
      </c>
      <c r="O229" s="7">
        <v>1454.11</v>
      </c>
      <c r="P229" s="7">
        <v>2629.75</v>
      </c>
      <c r="Q229" s="12">
        <v>0.29199999999999998</v>
      </c>
      <c r="R229">
        <v>8</v>
      </c>
      <c r="S229">
        <f t="shared" si="20"/>
        <v>14894.903999999999</v>
      </c>
      <c r="T229">
        <f t="shared" si="21"/>
        <v>11632.88</v>
      </c>
      <c r="U229">
        <f t="shared" si="22"/>
        <v>3262.0239999999994</v>
      </c>
      <c r="V229">
        <f t="shared" si="23"/>
        <v>0.21900268709351867</v>
      </c>
    </row>
    <row r="230" spans="1:22" x14ac:dyDescent="0.25">
      <c r="A230" t="s">
        <v>216</v>
      </c>
      <c r="B230" s="14">
        <v>45303</v>
      </c>
      <c r="C230" s="14">
        <v>45320</v>
      </c>
      <c r="D230" s="7">
        <f t="shared" si="24"/>
        <v>17</v>
      </c>
      <c r="E230" s="5" t="str">
        <f t="shared" si="25"/>
        <v>Q1</v>
      </c>
      <c r="F230" t="s">
        <v>648</v>
      </c>
      <c r="G230" t="s">
        <v>660</v>
      </c>
      <c r="H230" t="s">
        <v>677</v>
      </c>
      <c r="I230" t="s">
        <v>702</v>
      </c>
      <c r="J230" t="s">
        <v>709</v>
      </c>
      <c r="K230" t="s">
        <v>720</v>
      </c>
      <c r="L230" t="s">
        <v>728</v>
      </c>
      <c r="M230">
        <f t="shared" si="26"/>
        <v>4.217075377865355E-2</v>
      </c>
      <c r="N230" t="s">
        <v>935</v>
      </c>
      <c r="O230" s="7">
        <v>493.76</v>
      </c>
      <c r="P230" s="7">
        <v>625.04</v>
      </c>
      <c r="Q230" s="12">
        <v>0.25800000000000001</v>
      </c>
      <c r="R230">
        <v>10</v>
      </c>
      <c r="S230">
        <f t="shared" si="20"/>
        <v>4637.7968000000001</v>
      </c>
      <c r="T230">
        <f t="shared" si="21"/>
        <v>4937.6000000000004</v>
      </c>
      <c r="U230">
        <f t="shared" si="22"/>
        <v>-299.80320000000029</v>
      </c>
      <c r="V230">
        <f t="shared" si="23"/>
        <v>-6.464345311549663E-2</v>
      </c>
    </row>
    <row r="231" spans="1:22" x14ac:dyDescent="0.25">
      <c r="A231" t="s">
        <v>158</v>
      </c>
      <c r="B231" s="14">
        <v>45458</v>
      </c>
      <c r="C231" s="14">
        <v>45479</v>
      </c>
      <c r="D231" s="7">
        <f t="shared" si="24"/>
        <v>21</v>
      </c>
      <c r="E231" s="5" t="str">
        <f t="shared" si="25"/>
        <v>Q2</v>
      </c>
      <c r="F231" t="s">
        <v>648</v>
      </c>
      <c r="G231" t="s">
        <v>653</v>
      </c>
      <c r="H231" t="s">
        <v>667</v>
      </c>
      <c r="I231" t="s">
        <v>706</v>
      </c>
      <c r="J231" t="s">
        <v>711</v>
      </c>
      <c r="K231" t="s">
        <v>716</v>
      </c>
      <c r="L231" t="s">
        <v>728</v>
      </c>
      <c r="M231">
        <f t="shared" si="26"/>
        <v>9.0650362788985778E-2</v>
      </c>
      <c r="N231" t="s">
        <v>877</v>
      </c>
      <c r="O231" s="7">
        <v>817.23</v>
      </c>
      <c r="P231" s="7">
        <v>1467.17</v>
      </c>
      <c r="Q231" s="12">
        <v>0.245</v>
      </c>
      <c r="R231">
        <v>9</v>
      </c>
      <c r="S231">
        <f t="shared" si="20"/>
        <v>9969.4201499999999</v>
      </c>
      <c r="T231">
        <f t="shared" si="21"/>
        <v>7355.07</v>
      </c>
      <c r="U231">
        <f t="shared" si="22"/>
        <v>2614.3501500000002</v>
      </c>
      <c r="V231">
        <f t="shared" si="23"/>
        <v>0.26223693160328893</v>
      </c>
    </row>
    <row r="232" spans="1:22" x14ac:dyDescent="0.25">
      <c r="A232" t="s">
        <v>207</v>
      </c>
      <c r="B232" s="14">
        <v>45516</v>
      </c>
      <c r="C232" s="14">
        <v>45538</v>
      </c>
      <c r="D232" s="7">
        <f t="shared" si="24"/>
        <v>22</v>
      </c>
      <c r="E232" s="5" t="str">
        <f t="shared" si="25"/>
        <v>Q3</v>
      </c>
      <c r="F232" t="s">
        <v>648</v>
      </c>
      <c r="G232" t="s">
        <v>660</v>
      </c>
      <c r="H232" t="s">
        <v>697</v>
      </c>
      <c r="I232" t="s">
        <v>704</v>
      </c>
      <c r="J232" t="s">
        <v>711</v>
      </c>
      <c r="K232" t="s">
        <v>714</v>
      </c>
      <c r="L232" t="s">
        <v>731</v>
      </c>
      <c r="M232">
        <f t="shared" si="26"/>
        <v>0.22163434136202548</v>
      </c>
      <c r="N232" t="s">
        <v>926</v>
      </c>
      <c r="O232" s="7">
        <v>797.8</v>
      </c>
      <c r="P232" s="7">
        <v>886.22</v>
      </c>
      <c r="Q232" s="12">
        <v>0.23599999999999999</v>
      </c>
      <c r="R232">
        <v>36</v>
      </c>
      <c r="S232">
        <f t="shared" si="20"/>
        <v>24374.594880000001</v>
      </c>
      <c r="T232">
        <f t="shared" si="21"/>
        <v>28720.799999999999</v>
      </c>
      <c r="U232">
        <f t="shared" si="22"/>
        <v>-4346.2051199999987</v>
      </c>
      <c r="V232">
        <f t="shared" si="23"/>
        <v>-0.17830881462428633</v>
      </c>
    </row>
    <row r="233" spans="1:22" x14ac:dyDescent="0.25">
      <c r="A233" t="s">
        <v>98</v>
      </c>
      <c r="B233" s="14">
        <v>45770</v>
      </c>
      <c r="C233" s="15">
        <v>45769</v>
      </c>
      <c r="D233" s="7">
        <f t="shared" si="24"/>
        <v>-1</v>
      </c>
      <c r="E233" s="5" t="str">
        <f t="shared" si="25"/>
        <v>Q2</v>
      </c>
      <c r="F233" t="s">
        <v>648</v>
      </c>
      <c r="G233" t="s">
        <v>660</v>
      </c>
      <c r="H233" t="s">
        <v>686</v>
      </c>
      <c r="I233" t="s">
        <v>703</v>
      </c>
      <c r="J233" t="s">
        <v>710</v>
      </c>
      <c r="K233" t="s">
        <v>726</v>
      </c>
      <c r="L233" t="s">
        <v>732</v>
      </c>
      <c r="M233">
        <f t="shared" si="26"/>
        <v>4.7720303505738495E-3</v>
      </c>
      <c r="N233" t="s">
        <v>817</v>
      </c>
      <c r="O233" s="7">
        <v>23.24</v>
      </c>
      <c r="P233" s="7">
        <v>44.57</v>
      </c>
      <c r="Q233" s="12">
        <v>0.215</v>
      </c>
      <c r="R233">
        <v>15</v>
      </c>
      <c r="S233">
        <f t="shared" si="20"/>
        <v>524.81174999999996</v>
      </c>
      <c r="T233">
        <f t="shared" si="21"/>
        <v>348.59999999999997</v>
      </c>
      <c r="U233">
        <f t="shared" si="22"/>
        <v>176.21174999999999</v>
      </c>
      <c r="V233">
        <f t="shared" si="23"/>
        <v>0.33576182316802167</v>
      </c>
    </row>
    <row r="234" spans="1:22" x14ac:dyDescent="0.25">
      <c r="A234" t="s">
        <v>566</v>
      </c>
      <c r="B234" s="14">
        <v>45875</v>
      </c>
      <c r="C234" s="14">
        <v>45892</v>
      </c>
      <c r="D234" s="7">
        <f t="shared" si="24"/>
        <v>17</v>
      </c>
      <c r="E234" s="5" t="str">
        <f t="shared" si="25"/>
        <v>Q3</v>
      </c>
      <c r="F234" t="s">
        <v>648</v>
      </c>
      <c r="G234" t="s">
        <v>655</v>
      </c>
      <c r="H234" t="s">
        <v>672</v>
      </c>
      <c r="I234" t="s">
        <v>704</v>
      </c>
      <c r="J234" t="s">
        <v>711</v>
      </c>
      <c r="K234" t="s">
        <v>720</v>
      </c>
      <c r="L234" t="s">
        <v>732</v>
      </c>
      <c r="M234">
        <f t="shared" si="26"/>
        <v>1.6792697803209657E-2</v>
      </c>
      <c r="N234" t="s">
        <v>1283</v>
      </c>
      <c r="O234" s="7">
        <v>86.64</v>
      </c>
      <c r="P234" s="7">
        <v>213.06</v>
      </c>
      <c r="Q234" s="12">
        <v>0.21199999999999999</v>
      </c>
      <c r="R234">
        <v>11</v>
      </c>
      <c r="S234">
        <f t="shared" si="20"/>
        <v>1846.8040799999999</v>
      </c>
      <c r="T234">
        <f t="shared" si="21"/>
        <v>953.04</v>
      </c>
      <c r="U234">
        <f t="shared" si="22"/>
        <v>893.76407999999992</v>
      </c>
      <c r="V234">
        <f t="shared" si="23"/>
        <v>0.48395175735154322</v>
      </c>
    </row>
    <row r="235" spans="1:22" x14ac:dyDescent="0.25">
      <c r="A235" t="s">
        <v>352</v>
      </c>
      <c r="B235" s="14">
        <v>45340</v>
      </c>
      <c r="C235" s="14">
        <v>45354</v>
      </c>
      <c r="D235" s="7">
        <f t="shared" si="24"/>
        <v>14</v>
      </c>
      <c r="E235" s="5" t="str">
        <f t="shared" si="25"/>
        <v>Q1</v>
      </c>
      <c r="F235" t="s">
        <v>648</v>
      </c>
      <c r="G235" t="s">
        <v>655</v>
      </c>
      <c r="H235" t="s">
        <v>1430</v>
      </c>
      <c r="I235" t="s">
        <v>706</v>
      </c>
      <c r="J235" t="s">
        <v>710</v>
      </c>
      <c r="K235" t="s">
        <v>720</v>
      </c>
      <c r="L235" t="s">
        <v>728</v>
      </c>
      <c r="M235">
        <f t="shared" si="26"/>
        <v>0.35040135310528231</v>
      </c>
      <c r="N235" t="s">
        <v>1071</v>
      </c>
      <c r="O235" s="7">
        <v>624.23</v>
      </c>
      <c r="P235" s="7">
        <v>1318.37</v>
      </c>
      <c r="Q235" s="12">
        <v>0.21</v>
      </c>
      <c r="R235">
        <v>37</v>
      </c>
      <c r="S235">
        <f t="shared" si="20"/>
        <v>38535.955099999999</v>
      </c>
      <c r="T235">
        <f t="shared" si="21"/>
        <v>23096.510000000002</v>
      </c>
      <c r="U235">
        <f t="shared" si="22"/>
        <v>15439.445099999997</v>
      </c>
      <c r="V235">
        <f t="shared" si="23"/>
        <v>0.40065038118128793</v>
      </c>
    </row>
    <row r="236" spans="1:22" x14ac:dyDescent="0.25">
      <c r="A236" t="s">
        <v>266</v>
      </c>
      <c r="B236" s="14">
        <v>44989</v>
      </c>
      <c r="C236" s="14">
        <v>45009</v>
      </c>
      <c r="D236" s="7">
        <f t="shared" si="24"/>
        <v>20</v>
      </c>
      <c r="E236" s="5" t="str">
        <f t="shared" si="25"/>
        <v>Q1</v>
      </c>
      <c r="F236" t="s">
        <v>648</v>
      </c>
      <c r="G236" t="s">
        <v>653</v>
      </c>
      <c r="H236" t="s">
        <v>681</v>
      </c>
      <c r="I236" t="s">
        <v>704</v>
      </c>
      <c r="J236" t="s">
        <v>707</v>
      </c>
      <c r="K236" t="s">
        <v>714</v>
      </c>
      <c r="L236" t="s">
        <v>731</v>
      </c>
      <c r="M236">
        <f t="shared" si="26"/>
        <v>0.15870049666036223</v>
      </c>
      <c r="N236" t="s">
        <v>985</v>
      </c>
      <c r="O236" s="7">
        <v>481.71</v>
      </c>
      <c r="P236" s="7">
        <v>912.45</v>
      </c>
      <c r="Q236" s="12">
        <v>0.20300000000000001</v>
      </c>
      <c r="R236">
        <v>24</v>
      </c>
      <c r="S236">
        <f t="shared" si="20"/>
        <v>17453.3436</v>
      </c>
      <c r="T236">
        <f t="shared" si="21"/>
        <v>11561.039999999999</v>
      </c>
      <c r="U236">
        <f t="shared" si="22"/>
        <v>5892.3036000000011</v>
      </c>
      <c r="V236">
        <f t="shared" si="23"/>
        <v>0.33760313983619739</v>
      </c>
    </row>
    <row r="237" spans="1:22" x14ac:dyDescent="0.25">
      <c r="A237" t="s">
        <v>280</v>
      </c>
      <c r="B237" s="14">
        <v>45902</v>
      </c>
      <c r="C237" s="14">
        <v>45911</v>
      </c>
      <c r="D237" s="7">
        <f t="shared" si="24"/>
        <v>9</v>
      </c>
      <c r="E237" s="5" t="str">
        <f t="shared" si="25"/>
        <v>Q3</v>
      </c>
      <c r="F237" t="s">
        <v>648</v>
      </c>
      <c r="G237" t="s">
        <v>653</v>
      </c>
      <c r="H237" t="s">
        <v>667</v>
      </c>
      <c r="I237" t="s">
        <v>701</v>
      </c>
      <c r="J237" t="s">
        <v>710</v>
      </c>
      <c r="K237" t="s">
        <v>724</v>
      </c>
      <c r="L237" t="s">
        <v>728</v>
      </c>
      <c r="M237">
        <f t="shared" si="26"/>
        <v>0.11454727999384365</v>
      </c>
      <c r="N237" t="s">
        <v>999</v>
      </c>
      <c r="O237" s="7">
        <v>1207.6300000000001</v>
      </c>
      <c r="P237" s="7">
        <v>921.68</v>
      </c>
      <c r="Q237" s="12">
        <v>0.19600000000000001</v>
      </c>
      <c r="R237">
        <v>17</v>
      </c>
      <c r="S237">
        <f t="shared" si="20"/>
        <v>12597.52224</v>
      </c>
      <c r="T237">
        <f t="shared" si="21"/>
        <v>20529.710000000003</v>
      </c>
      <c r="U237">
        <f t="shared" si="22"/>
        <v>-7932.1877600000025</v>
      </c>
      <c r="V237">
        <f t="shared" si="23"/>
        <v>-0.62966253274897988</v>
      </c>
    </row>
    <row r="238" spans="1:22" x14ac:dyDescent="0.25">
      <c r="A238" t="s">
        <v>626</v>
      </c>
      <c r="B238" s="14">
        <v>45323</v>
      </c>
      <c r="C238" s="14">
        <v>45323</v>
      </c>
      <c r="D238" s="7">
        <f t="shared" si="24"/>
        <v>0</v>
      </c>
      <c r="E238" s="5" t="str">
        <f t="shared" si="25"/>
        <v>Q1</v>
      </c>
      <c r="F238" t="s">
        <v>648</v>
      </c>
      <c r="G238" t="s">
        <v>660</v>
      </c>
      <c r="H238" t="s">
        <v>697</v>
      </c>
      <c r="I238" t="s">
        <v>704</v>
      </c>
      <c r="J238" t="s">
        <v>711</v>
      </c>
      <c r="K238" t="s">
        <v>722</v>
      </c>
      <c r="L238" t="s">
        <v>728</v>
      </c>
      <c r="M238">
        <f t="shared" si="26"/>
        <v>0.16370614330961261</v>
      </c>
      <c r="N238" t="s">
        <v>1343</v>
      </c>
      <c r="O238" s="7">
        <v>714.43</v>
      </c>
      <c r="P238" s="7">
        <v>1595.52</v>
      </c>
      <c r="Q238" s="12">
        <v>0.19400000000000001</v>
      </c>
      <c r="R238">
        <v>14</v>
      </c>
      <c r="S238">
        <f t="shared" si="20"/>
        <v>18003.847679999999</v>
      </c>
      <c r="T238">
        <f t="shared" si="21"/>
        <v>10002.019999999999</v>
      </c>
      <c r="U238">
        <f t="shared" si="22"/>
        <v>8001.8276800000003</v>
      </c>
      <c r="V238">
        <f t="shared" si="23"/>
        <v>0.44445097638151093</v>
      </c>
    </row>
    <row r="239" spans="1:22" x14ac:dyDescent="0.25">
      <c r="A239" t="s">
        <v>259</v>
      </c>
      <c r="B239" s="14">
        <v>45035</v>
      </c>
      <c r="C239" s="14">
        <v>45044</v>
      </c>
      <c r="D239" s="7">
        <f t="shared" si="24"/>
        <v>9</v>
      </c>
      <c r="E239" s="5" t="str">
        <f t="shared" si="25"/>
        <v>Q2</v>
      </c>
      <c r="F239" t="s">
        <v>648</v>
      </c>
      <c r="G239" t="s">
        <v>655</v>
      </c>
      <c r="H239" t="s">
        <v>692</v>
      </c>
      <c r="I239" t="s">
        <v>701</v>
      </c>
      <c r="J239" t="s">
        <v>707</v>
      </c>
      <c r="K239" t="s">
        <v>724</v>
      </c>
      <c r="L239" t="s">
        <v>730</v>
      </c>
      <c r="M239">
        <f t="shared" si="26"/>
        <v>0.11137527623256435</v>
      </c>
      <c r="N239" t="s">
        <v>978</v>
      </c>
      <c r="O239" s="7">
        <v>1013.54</v>
      </c>
      <c r="P239" s="7">
        <v>927.93</v>
      </c>
      <c r="Q239" s="12">
        <v>0.17499999999999999</v>
      </c>
      <c r="R239">
        <v>16</v>
      </c>
      <c r="S239">
        <f t="shared" si="20"/>
        <v>12248.675999999999</v>
      </c>
      <c r="T239">
        <f t="shared" si="21"/>
        <v>16216.64</v>
      </c>
      <c r="U239">
        <f t="shared" si="22"/>
        <v>-3967.9639999999999</v>
      </c>
      <c r="V239">
        <f t="shared" si="23"/>
        <v>-0.32395044166406234</v>
      </c>
    </row>
    <row r="240" spans="1:22" x14ac:dyDescent="0.25">
      <c r="A240" t="s">
        <v>372</v>
      </c>
      <c r="B240" s="14">
        <v>45385</v>
      </c>
      <c r="C240" s="14">
        <v>45403</v>
      </c>
      <c r="D240" s="7">
        <f t="shared" si="24"/>
        <v>18</v>
      </c>
      <c r="E240" s="5" t="str">
        <f t="shared" si="25"/>
        <v>Q2</v>
      </c>
      <c r="F240" t="s">
        <v>648</v>
      </c>
      <c r="G240" t="s">
        <v>655</v>
      </c>
      <c r="H240" t="s">
        <v>672</v>
      </c>
      <c r="I240" t="s">
        <v>705</v>
      </c>
      <c r="J240" t="s">
        <v>711</v>
      </c>
      <c r="K240" t="s">
        <v>717</v>
      </c>
      <c r="L240" t="s">
        <v>729</v>
      </c>
      <c r="M240">
        <f t="shared" si="26"/>
        <v>0.44860910563117679</v>
      </c>
      <c r="N240" t="s">
        <v>1091</v>
      </c>
      <c r="O240" s="7">
        <v>1176.69</v>
      </c>
      <c r="P240" s="7">
        <v>2201.54</v>
      </c>
      <c r="Q240" s="12">
        <v>0.17</v>
      </c>
      <c r="R240">
        <v>27</v>
      </c>
      <c r="S240">
        <f t="shared" si="20"/>
        <v>49336.511399999996</v>
      </c>
      <c r="T240">
        <f t="shared" si="21"/>
        <v>31770.63</v>
      </c>
      <c r="U240">
        <f t="shared" si="22"/>
        <v>17565.881399999995</v>
      </c>
      <c r="V240">
        <f t="shared" si="23"/>
        <v>0.35604222717701106</v>
      </c>
    </row>
    <row r="241" spans="1:22" x14ac:dyDescent="0.25">
      <c r="A241" t="s">
        <v>616</v>
      </c>
      <c r="B241" s="14">
        <v>45523</v>
      </c>
      <c r="C241" s="14">
        <v>45537</v>
      </c>
      <c r="D241" s="7">
        <f t="shared" si="24"/>
        <v>14</v>
      </c>
      <c r="E241" s="5" t="str">
        <f t="shared" si="25"/>
        <v>Q3</v>
      </c>
      <c r="F241" t="s">
        <v>648</v>
      </c>
      <c r="G241" t="s">
        <v>653</v>
      </c>
      <c r="H241" t="s">
        <v>667</v>
      </c>
      <c r="I241" t="s">
        <v>704</v>
      </c>
      <c r="J241" t="s">
        <v>707</v>
      </c>
      <c r="K241" t="s">
        <v>712</v>
      </c>
      <c r="L241" t="s">
        <v>728</v>
      </c>
      <c r="M241">
        <f t="shared" si="26"/>
        <v>6.7889944818277745E-2</v>
      </c>
      <c r="N241" t="s">
        <v>1333</v>
      </c>
      <c r="O241" s="7">
        <v>1337.01</v>
      </c>
      <c r="P241" s="7">
        <v>1269.78</v>
      </c>
      <c r="Q241" s="12">
        <v>0.16</v>
      </c>
      <c r="R241">
        <v>7</v>
      </c>
      <c r="S241">
        <f t="shared" si="20"/>
        <v>7466.3063999999986</v>
      </c>
      <c r="T241">
        <f t="shared" si="21"/>
        <v>9359.07</v>
      </c>
      <c r="U241">
        <f t="shared" si="22"/>
        <v>-1892.7636000000011</v>
      </c>
      <c r="V241">
        <f t="shared" si="23"/>
        <v>-0.25350735672996244</v>
      </c>
    </row>
    <row r="242" spans="1:22" x14ac:dyDescent="0.25">
      <c r="A242" t="s">
        <v>131</v>
      </c>
      <c r="B242" s="14">
        <v>45811</v>
      </c>
      <c r="C242" s="14">
        <v>45818</v>
      </c>
      <c r="D242" s="7">
        <f t="shared" si="24"/>
        <v>7</v>
      </c>
      <c r="E242" s="5" t="str">
        <f t="shared" si="25"/>
        <v>Q2</v>
      </c>
      <c r="F242" t="s">
        <v>648</v>
      </c>
      <c r="G242" t="s">
        <v>653</v>
      </c>
      <c r="H242" t="s">
        <v>667</v>
      </c>
      <c r="I242" t="s">
        <v>704</v>
      </c>
      <c r="J242" t="s">
        <v>707</v>
      </c>
      <c r="K242" t="s">
        <v>719</v>
      </c>
      <c r="L242" t="s">
        <v>728</v>
      </c>
      <c r="M242">
        <f t="shared" si="26"/>
        <v>6.9650438156067347E-3</v>
      </c>
      <c r="N242" t="s">
        <v>850</v>
      </c>
      <c r="O242" s="7">
        <v>75.180000000000007</v>
      </c>
      <c r="P242" s="7">
        <v>53.45</v>
      </c>
      <c r="Q242" s="12">
        <v>0.157</v>
      </c>
      <c r="R242">
        <v>17</v>
      </c>
      <c r="S242">
        <f t="shared" si="20"/>
        <v>765.99195000000009</v>
      </c>
      <c r="T242">
        <f t="shared" si="21"/>
        <v>1278.0600000000002</v>
      </c>
      <c r="U242">
        <f t="shared" si="22"/>
        <v>-512.06805000000008</v>
      </c>
      <c r="V242">
        <f t="shared" si="23"/>
        <v>-0.66850317421743144</v>
      </c>
    </row>
    <row r="243" spans="1:22" x14ac:dyDescent="0.25">
      <c r="A243" t="s">
        <v>240</v>
      </c>
      <c r="B243" s="14">
        <v>45279</v>
      </c>
      <c r="C243" s="14">
        <v>45280</v>
      </c>
      <c r="D243" s="7">
        <f t="shared" si="24"/>
        <v>1</v>
      </c>
      <c r="E243" s="5" t="str">
        <f t="shared" si="25"/>
        <v>Q4</v>
      </c>
      <c r="F243" t="s">
        <v>648</v>
      </c>
      <c r="G243" t="s">
        <v>655</v>
      </c>
      <c r="H243" t="s">
        <v>692</v>
      </c>
      <c r="I243" t="s">
        <v>704</v>
      </c>
      <c r="J243" t="s">
        <v>709</v>
      </c>
      <c r="K243" t="s">
        <v>713</v>
      </c>
      <c r="L243" t="s">
        <v>730</v>
      </c>
      <c r="M243">
        <f t="shared" si="26"/>
        <v>0.19616578742118934</v>
      </c>
      <c r="N243" t="s">
        <v>959</v>
      </c>
      <c r="O243" s="7">
        <v>1080.43</v>
      </c>
      <c r="P243" s="7">
        <v>2529.15</v>
      </c>
      <c r="Q243" s="12">
        <v>0.14699999999999999</v>
      </c>
      <c r="R243">
        <v>10</v>
      </c>
      <c r="S243">
        <f t="shared" si="20"/>
        <v>21573.6495</v>
      </c>
      <c r="T243">
        <f t="shared" si="21"/>
        <v>10804.300000000001</v>
      </c>
      <c r="U243">
        <f t="shared" si="22"/>
        <v>10769.349499999998</v>
      </c>
      <c r="V243">
        <f t="shared" si="23"/>
        <v>0.49918997247081437</v>
      </c>
    </row>
    <row r="244" spans="1:22" x14ac:dyDescent="0.25">
      <c r="A244" t="s">
        <v>576</v>
      </c>
      <c r="B244" s="14">
        <v>45590</v>
      </c>
      <c r="C244" s="14">
        <v>45601</v>
      </c>
      <c r="D244" s="7">
        <f t="shared" si="24"/>
        <v>11</v>
      </c>
      <c r="E244" s="5" t="str">
        <f t="shared" si="25"/>
        <v>Q4</v>
      </c>
      <c r="F244" t="s">
        <v>648</v>
      </c>
      <c r="G244" t="s">
        <v>660</v>
      </c>
      <c r="H244" t="s">
        <v>700</v>
      </c>
      <c r="I244" t="s">
        <v>701</v>
      </c>
      <c r="J244" t="s">
        <v>711</v>
      </c>
      <c r="K244" t="s">
        <v>725</v>
      </c>
      <c r="L244" t="s">
        <v>727</v>
      </c>
      <c r="M244">
        <f t="shared" si="26"/>
        <v>6.1531107597757255E-2</v>
      </c>
      <c r="N244" t="s">
        <v>1293</v>
      </c>
      <c r="O244" s="7">
        <v>446.66</v>
      </c>
      <c r="P244" s="7">
        <v>527.64</v>
      </c>
      <c r="Q244" s="12">
        <v>0.14499999999999999</v>
      </c>
      <c r="R244">
        <v>15</v>
      </c>
      <c r="S244">
        <f t="shared" si="20"/>
        <v>6766.9829999999993</v>
      </c>
      <c r="T244">
        <f t="shared" si="21"/>
        <v>6699.9000000000005</v>
      </c>
      <c r="U244">
        <f t="shared" si="22"/>
        <v>67.082999999998719</v>
      </c>
      <c r="V244">
        <f t="shared" si="23"/>
        <v>9.9132804087137105E-3</v>
      </c>
    </row>
    <row r="245" spans="1:22" x14ac:dyDescent="0.25">
      <c r="A245" t="s">
        <v>274</v>
      </c>
      <c r="B245" s="14">
        <v>45210</v>
      </c>
      <c r="C245" s="14">
        <v>45212</v>
      </c>
      <c r="D245" s="7">
        <f t="shared" si="24"/>
        <v>2</v>
      </c>
      <c r="E245" s="5" t="str">
        <f t="shared" si="25"/>
        <v>Q4</v>
      </c>
      <c r="F245" t="s">
        <v>648</v>
      </c>
      <c r="G245" t="s">
        <v>655</v>
      </c>
      <c r="H245" t="s">
        <v>672</v>
      </c>
      <c r="I245" t="s">
        <v>704</v>
      </c>
      <c r="J245" t="s">
        <v>710</v>
      </c>
      <c r="K245" t="s">
        <v>1430</v>
      </c>
      <c r="L245" t="s">
        <v>733</v>
      </c>
      <c r="M245">
        <f t="shared" si="26"/>
        <v>6.8823386886396068E-2</v>
      </c>
      <c r="N245" t="s">
        <v>993</v>
      </c>
      <c r="O245" s="7">
        <v>715.94</v>
      </c>
      <c r="P245" s="7">
        <v>550.07000000000005</v>
      </c>
      <c r="Q245" s="12">
        <v>0.14000000000000001</v>
      </c>
      <c r="R245">
        <v>16</v>
      </c>
      <c r="S245">
        <f t="shared" si="20"/>
        <v>7568.9632000000001</v>
      </c>
      <c r="T245">
        <f t="shared" si="21"/>
        <v>11455.04</v>
      </c>
      <c r="U245">
        <f t="shared" si="22"/>
        <v>-3886.0768000000007</v>
      </c>
      <c r="V245">
        <f t="shared" si="23"/>
        <v>-0.51342260456491595</v>
      </c>
    </row>
    <row r="246" spans="1:22" x14ac:dyDescent="0.25">
      <c r="A246" t="s">
        <v>578</v>
      </c>
      <c r="B246" s="14">
        <v>45029</v>
      </c>
      <c r="C246" s="14">
        <v>45048</v>
      </c>
      <c r="D246" s="7">
        <f t="shared" si="24"/>
        <v>19</v>
      </c>
      <c r="E246" s="5" t="str">
        <f t="shared" si="25"/>
        <v>Q2</v>
      </c>
      <c r="F246" t="s">
        <v>648</v>
      </c>
      <c r="G246" t="s">
        <v>653</v>
      </c>
      <c r="H246" t="s">
        <v>681</v>
      </c>
      <c r="I246" t="s">
        <v>704</v>
      </c>
      <c r="J246" t="s">
        <v>708</v>
      </c>
      <c r="K246" t="s">
        <v>718</v>
      </c>
      <c r="L246" t="s">
        <v>732</v>
      </c>
      <c r="M246">
        <f t="shared" si="26"/>
        <v>7.7473700685123714E-2</v>
      </c>
      <c r="N246" t="s">
        <v>1295</v>
      </c>
      <c r="O246" s="7">
        <v>671.05</v>
      </c>
      <c r="P246" s="7">
        <v>1645.48</v>
      </c>
      <c r="Q246" s="12">
        <v>0.13700000000000001</v>
      </c>
      <c r="R246">
        <v>6</v>
      </c>
      <c r="S246">
        <f t="shared" si="20"/>
        <v>8520.2954399999999</v>
      </c>
      <c r="T246">
        <f t="shared" si="21"/>
        <v>4026.2999999999997</v>
      </c>
      <c r="U246">
        <f t="shared" si="22"/>
        <v>4493.9954400000006</v>
      </c>
      <c r="V246">
        <f t="shared" si="23"/>
        <v>0.52744596377517172</v>
      </c>
    </row>
    <row r="247" spans="1:22" x14ac:dyDescent="0.25">
      <c r="A247" t="s">
        <v>165</v>
      </c>
      <c r="B247" s="14">
        <v>45763</v>
      </c>
      <c r="C247" s="14">
        <v>45793</v>
      </c>
      <c r="D247" s="7">
        <f t="shared" si="24"/>
        <v>30</v>
      </c>
      <c r="E247" s="5" t="str">
        <f t="shared" si="25"/>
        <v>Q2</v>
      </c>
      <c r="F247" t="s">
        <v>648</v>
      </c>
      <c r="G247" t="s">
        <v>653</v>
      </c>
      <c r="H247" t="s">
        <v>681</v>
      </c>
      <c r="I247" t="s">
        <v>706</v>
      </c>
      <c r="J247" t="s">
        <v>709</v>
      </c>
      <c r="K247" t="s">
        <v>723</v>
      </c>
      <c r="L247" t="s">
        <v>728</v>
      </c>
      <c r="M247">
        <f t="shared" si="26"/>
        <v>7.1847129311997174E-2</v>
      </c>
      <c r="N247" t="s">
        <v>884</v>
      </c>
      <c r="O247" s="7">
        <v>763.32</v>
      </c>
      <c r="P247" s="7">
        <v>568.29</v>
      </c>
      <c r="Q247" s="12">
        <v>0.13100000000000001</v>
      </c>
      <c r="R247">
        <v>16</v>
      </c>
      <c r="S247">
        <f t="shared" si="20"/>
        <v>7901.5041599999995</v>
      </c>
      <c r="T247">
        <f t="shared" si="21"/>
        <v>12213.12</v>
      </c>
      <c r="U247">
        <f t="shared" si="22"/>
        <v>-4311.6158400000013</v>
      </c>
      <c r="V247">
        <f t="shared" si="23"/>
        <v>-0.54567026134426555</v>
      </c>
    </row>
    <row r="248" spans="1:22" x14ac:dyDescent="0.25">
      <c r="A248" t="s">
        <v>369</v>
      </c>
      <c r="B248" s="14">
        <v>45603</v>
      </c>
      <c r="C248" s="14">
        <v>45622</v>
      </c>
      <c r="D248" s="7">
        <f t="shared" si="24"/>
        <v>19</v>
      </c>
      <c r="E248" s="5" t="str">
        <f t="shared" si="25"/>
        <v>Q4</v>
      </c>
      <c r="F248" t="s">
        <v>648</v>
      </c>
      <c r="G248" t="s">
        <v>655</v>
      </c>
      <c r="H248" t="s">
        <v>692</v>
      </c>
      <c r="I248" t="s">
        <v>703</v>
      </c>
      <c r="J248" t="s">
        <v>711</v>
      </c>
      <c r="K248" t="s">
        <v>713</v>
      </c>
      <c r="L248" t="s">
        <v>728</v>
      </c>
      <c r="M248">
        <f t="shared" si="26"/>
        <v>1.0202983502681243E-2</v>
      </c>
      <c r="N248" t="s">
        <v>1088</v>
      </c>
      <c r="O248" s="7">
        <v>55.35</v>
      </c>
      <c r="P248" s="7">
        <v>128.68</v>
      </c>
      <c r="Q248" s="12">
        <v>0.128</v>
      </c>
      <c r="R248">
        <v>10</v>
      </c>
      <c r="S248">
        <f t="shared" si="20"/>
        <v>1122.0896000000002</v>
      </c>
      <c r="T248">
        <f t="shared" si="21"/>
        <v>553.5</v>
      </c>
      <c r="U248">
        <f t="shared" si="22"/>
        <v>568.58960000000025</v>
      </c>
      <c r="V248">
        <f t="shared" si="23"/>
        <v>0.50672388372550647</v>
      </c>
    </row>
    <row r="249" spans="1:22" x14ac:dyDescent="0.25">
      <c r="A249" t="s">
        <v>295</v>
      </c>
      <c r="B249" s="14">
        <v>45092</v>
      </c>
      <c r="C249" s="14">
        <v>45100</v>
      </c>
      <c r="D249" s="7">
        <f t="shared" si="24"/>
        <v>8</v>
      </c>
      <c r="E249" s="5" t="str">
        <f t="shared" si="25"/>
        <v>Q2</v>
      </c>
      <c r="F249" t="s">
        <v>648</v>
      </c>
      <c r="G249" t="s">
        <v>660</v>
      </c>
      <c r="H249" t="s">
        <v>686</v>
      </c>
      <c r="I249" t="s">
        <v>704</v>
      </c>
      <c r="J249" t="s">
        <v>709</v>
      </c>
      <c r="K249" t="s">
        <v>719</v>
      </c>
      <c r="L249" t="s">
        <v>732</v>
      </c>
      <c r="M249">
        <f t="shared" si="26"/>
        <v>0.1585884539331516</v>
      </c>
      <c r="N249" t="s">
        <v>1014</v>
      </c>
      <c r="O249" s="7">
        <v>1097.0899999999999</v>
      </c>
      <c r="P249" s="7">
        <v>2182.31</v>
      </c>
      <c r="Q249" s="12">
        <v>0.112</v>
      </c>
      <c r="R249">
        <v>9</v>
      </c>
      <c r="S249">
        <f t="shared" si="20"/>
        <v>17441.021520000002</v>
      </c>
      <c r="T249">
        <f t="shared" si="21"/>
        <v>9873.81</v>
      </c>
      <c r="U249">
        <f t="shared" si="22"/>
        <v>7567.2115200000026</v>
      </c>
      <c r="V249">
        <f t="shared" si="23"/>
        <v>0.43387432962699546</v>
      </c>
    </row>
    <row r="250" spans="1:22" x14ac:dyDescent="0.25">
      <c r="A250" t="s">
        <v>625</v>
      </c>
      <c r="B250" s="14">
        <v>45032</v>
      </c>
      <c r="C250" s="14">
        <v>45039</v>
      </c>
      <c r="D250" s="7">
        <f t="shared" si="24"/>
        <v>7</v>
      </c>
      <c r="E250" s="5" t="str">
        <f t="shared" si="25"/>
        <v>Q2</v>
      </c>
      <c r="F250" t="s">
        <v>648</v>
      </c>
      <c r="G250" t="s">
        <v>660</v>
      </c>
      <c r="H250" t="s">
        <v>697</v>
      </c>
      <c r="I250" t="s">
        <v>701</v>
      </c>
      <c r="J250" t="s">
        <v>709</v>
      </c>
      <c r="K250" t="s">
        <v>719</v>
      </c>
      <c r="L250" t="s">
        <v>728</v>
      </c>
      <c r="M250">
        <f t="shared" si="26"/>
        <v>9.3293106494345052E-2</v>
      </c>
      <c r="N250" t="s">
        <v>1342</v>
      </c>
      <c r="O250" s="7">
        <v>1099.1500000000001</v>
      </c>
      <c r="P250" s="7">
        <v>1431.37</v>
      </c>
      <c r="Q250" s="12">
        <v>0.104</v>
      </c>
      <c r="R250">
        <v>8</v>
      </c>
      <c r="S250">
        <f t="shared" si="20"/>
        <v>10260.060159999999</v>
      </c>
      <c r="T250">
        <f t="shared" si="21"/>
        <v>8793.2000000000007</v>
      </c>
      <c r="U250">
        <f t="shared" si="22"/>
        <v>1466.8601599999984</v>
      </c>
      <c r="V250">
        <f t="shared" si="23"/>
        <v>0.14296798821109433</v>
      </c>
    </row>
    <row r="251" spans="1:22" x14ac:dyDescent="0.25">
      <c r="A251" t="s">
        <v>139</v>
      </c>
      <c r="B251" s="14">
        <v>45159</v>
      </c>
      <c r="C251" s="14">
        <v>45173</v>
      </c>
      <c r="D251" s="7">
        <f t="shared" si="24"/>
        <v>14</v>
      </c>
      <c r="E251" s="5" t="str">
        <f t="shared" si="25"/>
        <v>Q3</v>
      </c>
      <c r="F251" t="s">
        <v>648</v>
      </c>
      <c r="G251" t="s">
        <v>653</v>
      </c>
      <c r="H251" t="s">
        <v>681</v>
      </c>
      <c r="I251" t="s">
        <v>702</v>
      </c>
      <c r="J251" t="s">
        <v>710</v>
      </c>
      <c r="K251" t="s">
        <v>721</v>
      </c>
      <c r="L251" t="s">
        <v>727</v>
      </c>
      <c r="M251">
        <f t="shared" si="26"/>
        <v>1.8848787251750355E-2</v>
      </c>
      <c r="N251" t="s">
        <v>858</v>
      </c>
      <c r="O251" s="7">
        <v>178.19</v>
      </c>
      <c r="P251" s="7">
        <v>284.43</v>
      </c>
      <c r="Q251" s="12">
        <v>8.8999999999999996E-2</v>
      </c>
      <c r="R251">
        <v>8</v>
      </c>
      <c r="S251">
        <f t="shared" si="20"/>
        <v>2072.9258400000003</v>
      </c>
      <c r="T251">
        <f t="shared" si="21"/>
        <v>1425.52</v>
      </c>
      <c r="U251">
        <f t="shared" si="22"/>
        <v>647.40584000000035</v>
      </c>
      <c r="V251">
        <f t="shared" si="23"/>
        <v>0.31231500302972742</v>
      </c>
    </row>
    <row r="252" spans="1:22" x14ac:dyDescent="0.25">
      <c r="A252" t="s">
        <v>552</v>
      </c>
      <c r="B252" s="14">
        <v>45520</v>
      </c>
      <c r="C252" s="14">
        <v>45530</v>
      </c>
      <c r="D252" s="7">
        <f t="shared" si="24"/>
        <v>10</v>
      </c>
      <c r="E252" s="5" t="str">
        <f t="shared" si="25"/>
        <v>Q3</v>
      </c>
      <c r="F252" t="s">
        <v>648</v>
      </c>
      <c r="G252" t="s">
        <v>660</v>
      </c>
      <c r="H252" t="s">
        <v>677</v>
      </c>
      <c r="I252" t="s">
        <v>701</v>
      </c>
      <c r="J252" t="s">
        <v>707</v>
      </c>
      <c r="K252" t="s">
        <v>716</v>
      </c>
      <c r="L252" t="s">
        <v>731</v>
      </c>
      <c r="M252">
        <f t="shared" si="26"/>
        <v>0.46336001338925914</v>
      </c>
      <c r="N252" t="s">
        <v>1121</v>
      </c>
      <c r="O252" s="7">
        <v>1291.7</v>
      </c>
      <c r="P252" s="7">
        <v>2657.84</v>
      </c>
      <c r="Q252" s="12">
        <v>8.6999999999999994E-2</v>
      </c>
      <c r="R252">
        <v>21</v>
      </c>
      <c r="S252">
        <f t="shared" si="20"/>
        <v>50958.766320000002</v>
      </c>
      <c r="T252">
        <f t="shared" si="21"/>
        <v>27125.7</v>
      </c>
      <c r="U252">
        <f t="shared" si="22"/>
        <v>23833.066320000002</v>
      </c>
      <c r="V252">
        <f t="shared" si="23"/>
        <v>0.46769315745083367</v>
      </c>
    </row>
    <row r="253" spans="1:22" x14ac:dyDescent="0.25">
      <c r="A253" t="s">
        <v>502</v>
      </c>
      <c r="B253" s="14">
        <v>45613</v>
      </c>
      <c r="C253" s="14">
        <v>45624</v>
      </c>
      <c r="D253" s="7">
        <f t="shared" si="24"/>
        <v>11</v>
      </c>
      <c r="E253" s="5" t="str">
        <f t="shared" si="25"/>
        <v>Q4</v>
      </c>
      <c r="F253" t="s">
        <v>648</v>
      </c>
      <c r="G253" t="s">
        <v>653</v>
      </c>
      <c r="H253" t="s">
        <v>1430</v>
      </c>
      <c r="I253" t="s">
        <v>704</v>
      </c>
      <c r="J253" t="s">
        <v>710</v>
      </c>
      <c r="K253" t="s">
        <v>720</v>
      </c>
      <c r="L253" t="s">
        <v>728</v>
      </c>
      <c r="M253">
        <f t="shared" si="26"/>
        <v>0.26238736939593205</v>
      </c>
      <c r="N253" t="s">
        <v>1220</v>
      </c>
      <c r="O253" s="7">
        <v>1008.16</v>
      </c>
      <c r="P253" s="7">
        <v>2077.5</v>
      </c>
      <c r="Q253" s="12">
        <v>7.3999999999999996E-2</v>
      </c>
      <c r="R253">
        <v>15</v>
      </c>
      <c r="S253">
        <f t="shared" si="20"/>
        <v>28856.475000000002</v>
      </c>
      <c r="T253">
        <f t="shared" si="21"/>
        <v>15122.4</v>
      </c>
      <c r="U253">
        <f t="shared" si="22"/>
        <v>13734.075000000003</v>
      </c>
      <c r="V253">
        <f t="shared" si="23"/>
        <v>0.47594430712691005</v>
      </c>
    </row>
    <row r="254" spans="1:22" x14ac:dyDescent="0.25">
      <c r="A254" t="s">
        <v>591</v>
      </c>
      <c r="B254" s="14">
        <v>45872</v>
      </c>
      <c r="C254" s="14">
        <v>45885</v>
      </c>
      <c r="D254" s="7">
        <f t="shared" si="24"/>
        <v>13</v>
      </c>
      <c r="E254" s="5" t="str">
        <f t="shared" si="25"/>
        <v>Q3</v>
      </c>
      <c r="F254" t="s">
        <v>648</v>
      </c>
      <c r="G254" t="s">
        <v>653</v>
      </c>
      <c r="H254" t="s">
        <v>681</v>
      </c>
      <c r="I254" t="s">
        <v>706</v>
      </c>
      <c r="K254" t="s">
        <v>719</v>
      </c>
      <c r="L254" t="s">
        <v>729</v>
      </c>
      <c r="M254">
        <f t="shared" si="26"/>
        <v>0.10994328454606279</v>
      </c>
      <c r="N254" t="s">
        <v>1308</v>
      </c>
      <c r="O254" s="7">
        <v>698.66</v>
      </c>
      <c r="P254" s="7">
        <v>868.62</v>
      </c>
      <c r="Q254" s="12">
        <v>7.1999999999999995E-2</v>
      </c>
      <c r="R254">
        <v>15</v>
      </c>
      <c r="S254">
        <f t="shared" si="20"/>
        <v>12091.190399999999</v>
      </c>
      <c r="T254">
        <f t="shared" si="21"/>
        <v>10479.9</v>
      </c>
      <c r="U254">
        <f t="shared" si="22"/>
        <v>1611.2903999999999</v>
      </c>
      <c r="V254">
        <f t="shared" si="23"/>
        <v>0.13326151906432637</v>
      </c>
    </row>
    <row r="255" spans="1:22" x14ac:dyDescent="0.25">
      <c r="A255" t="s">
        <v>242</v>
      </c>
      <c r="B255" s="14">
        <v>45203</v>
      </c>
      <c r="C255" s="14">
        <v>45228</v>
      </c>
      <c r="D255" s="7">
        <f t="shared" si="24"/>
        <v>25</v>
      </c>
      <c r="E255" s="5" t="str">
        <f t="shared" si="25"/>
        <v>Q4</v>
      </c>
      <c r="F255" t="s">
        <v>648</v>
      </c>
      <c r="G255" t="s">
        <v>660</v>
      </c>
      <c r="H255" t="s">
        <v>686</v>
      </c>
      <c r="I255" t="s">
        <v>705</v>
      </c>
      <c r="J255" t="s">
        <v>708</v>
      </c>
      <c r="K255" t="s">
        <v>719</v>
      </c>
      <c r="L255" t="s">
        <v>733</v>
      </c>
      <c r="M255">
        <f t="shared" si="26"/>
        <v>5.0316359922645638E-2</v>
      </c>
      <c r="N255" t="s">
        <v>961</v>
      </c>
      <c r="O255" s="7">
        <v>1239.8399999999999</v>
      </c>
      <c r="P255" s="7">
        <v>1482.75</v>
      </c>
      <c r="Q255" s="12">
        <v>6.7000000000000004E-2</v>
      </c>
      <c r="R255">
        <v>4</v>
      </c>
      <c r="S255">
        <f t="shared" si="20"/>
        <v>5533.6230000000005</v>
      </c>
      <c r="T255">
        <f t="shared" si="21"/>
        <v>4959.3599999999997</v>
      </c>
      <c r="U255">
        <f t="shared" si="22"/>
        <v>574.26300000000083</v>
      </c>
      <c r="V255">
        <f t="shared" si="23"/>
        <v>0.10377703721413634</v>
      </c>
    </row>
    <row r="256" spans="1:22" x14ac:dyDescent="0.25">
      <c r="A256" t="s">
        <v>345</v>
      </c>
      <c r="B256" s="14">
        <v>45668</v>
      </c>
      <c r="C256" s="14">
        <v>45680</v>
      </c>
      <c r="D256" s="7">
        <f t="shared" si="24"/>
        <v>12</v>
      </c>
      <c r="E256" s="5" t="str">
        <f t="shared" si="25"/>
        <v>Q1</v>
      </c>
      <c r="F256" t="s">
        <v>648</v>
      </c>
      <c r="G256" t="s">
        <v>660</v>
      </c>
      <c r="H256" t="s">
        <v>697</v>
      </c>
      <c r="I256" t="s">
        <v>704</v>
      </c>
      <c r="J256" t="s">
        <v>709</v>
      </c>
      <c r="K256" t="s">
        <v>722</v>
      </c>
      <c r="L256" t="s">
        <v>730</v>
      </c>
      <c r="M256">
        <f t="shared" si="26"/>
        <v>2.3071184488212784E-2</v>
      </c>
      <c r="N256" t="s">
        <v>1064</v>
      </c>
      <c r="O256" s="7">
        <v>100.69</v>
      </c>
      <c r="P256" s="7">
        <v>226.14</v>
      </c>
      <c r="Q256" s="12">
        <v>6.5000000000000002E-2</v>
      </c>
      <c r="R256">
        <v>12</v>
      </c>
      <c r="S256">
        <f t="shared" si="20"/>
        <v>2537.2908000000002</v>
      </c>
      <c r="T256">
        <f t="shared" si="21"/>
        <v>1208.28</v>
      </c>
      <c r="U256">
        <f t="shared" si="22"/>
        <v>1329.0108000000002</v>
      </c>
      <c r="V256">
        <f t="shared" si="23"/>
        <v>0.52379128162999689</v>
      </c>
    </row>
    <row r="257" spans="1:22" x14ac:dyDescent="0.25">
      <c r="A257" t="s">
        <v>513</v>
      </c>
      <c r="B257" s="14">
        <v>45224</v>
      </c>
      <c r="C257" s="14">
        <v>45227</v>
      </c>
      <c r="D257" s="7">
        <f t="shared" si="24"/>
        <v>3</v>
      </c>
      <c r="E257" s="5" t="str">
        <f t="shared" si="25"/>
        <v>Q4</v>
      </c>
      <c r="F257" t="s">
        <v>648</v>
      </c>
      <c r="G257" t="s">
        <v>655</v>
      </c>
      <c r="H257" t="s">
        <v>672</v>
      </c>
      <c r="I257" t="s">
        <v>701</v>
      </c>
      <c r="J257" t="s">
        <v>711</v>
      </c>
      <c r="K257" t="s">
        <v>716</v>
      </c>
      <c r="L257" t="s">
        <v>733</v>
      </c>
      <c r="M257">
        <f t="shared" si="26"/>
        <v>7.8604615277541159E-2</v>
      </c>
      <c r="N257" t="s">
        <v>1231</v>
      </c>
      <c r="O257" s="7">
        <v>509.31</v>
      </c>
      <c r="P257" s="7">
        <v>1145.9000000000001</v>
      </c>
      <c r="Q257" s="12">
        <v>5.7000000000000002E-2</v>
      </c>
      <c r="R257">
        <v>8</v>
      </c>
      <c r="S257">
        <f t="shared" si="20"/>
        <v>8644.6696000000011</v>
      </c>
      <c r="T257">
        <f t="shared" si="21"/>
        <v>4074.48</v>
      </c>
      <c r="U257">
        <f t="shared" si="22"/>
        <v>4570.1896000000015</v>
      </c>
      <c r="V257">
        <f t="shared" si="23"/>
        <v>0.52867140231709964</v>
      </c>
    </row>
    <row r="258" spans="1:22" x14ac:dyDescent="0.25">
      <c r="A258" t="s">
        <v>572</v>
      </c>
      <c r="B258" s="14">
        <v>45791</v>
      </c>
      <c r="C258" s="15">
        <v>45789</v>
      </c>
      <c r="D258" s="7">
        <f t="shared" si="24"/>
        <v>-2</v>
      </c>
      <c r="E258" s="5" t="str">
        <f t="shared" si="25"/>
        <v>Q2</v>
      </c>
      <c r="F258" t="s">
        <v>648</v>
      </c>
      <c r="G258" t="s">
        <v>653</v>
      </c>
      <c r="H258" t="s">
        <v>688</v>
      </c>
      <c r="I258" t="s">
        <v>703</v>
      </c>
      <c r="J258" t="s">
        <v>709</v>
      </c>
      <c r="K258" t="s">
        <v>721</v>
      </c>
      <c r="L258" t="s">
        <v>728</v>
      </c>
      <c r="M258">
        <f t="shared" si="26"/>
        <v>0.45960060421147914</v>
      </c>
      <c r="N258" t="s">
        <v>1289</v>
      </c>
      <c r="O258" s="7">
        <v>883.5</v>
      </c>
      <c r="P258" s="7">
        <v>1978.91</v>
      </c>
      <c r="Q258" s="12">
        <v>5.3999999999999999E-2</v>
      </c>
      <c r="R258">
        <v>27</v>
      </c>
      <c r="S258">
        <f t="shared" ref="S258:S321" si="27">P258*R258*(1-Q258)</f>
        <v>50545.319219999998</v>
      </c>
      <c r="T258">
        <f t="shared" ref="T258:T321" si="28">O258*R258</f>
        <v>23854.5</v>
      </c>
      <c r="U258">
        <f t="shared" ref="U258:U321" si="29">S258-T258</f>
        <v>26690.819219999998</v>
      </c>
      <c r="V258">
        <f t="shared" ref="V258:V321" si="30">IF(S258=0,0,U258/S258)</f>
        <v>0.52805718970390547</v>
      </c>
    </row>
    <row r="259" spans="1:22" x14ac:dyDescent="0.25">
      <c r="A259" t="s">
        <v>134</v>
      </c>
      <c r="B259" s="14">
        <v>45847</v>
      </c>
      <c r="C259" s="14">
        <v>45856</v>
      </c>
      <c r="D259" s="7">
        <f t="shared" ref="D259:D322" si="31">C259-B259</f>
        <v>9</v>
      </c>
      <c r="E259" s="5" t="str">
        <f t="shared" ref="E259:E322" si="32">IF(AND(MONTH(B259)&gt;=1,MONTH(B259)&lt;=3),"Q1", IF(AND(MONTH(B259)&gt;=4,MONTH(B259)&lt;=6), "Q2", IF(AND(MONTH(B259)&gt;=7,MONTH(B259)&lt;=9),"Q3", IF(AND(MONTH(B259)&gt;=10,MONTH(B259)&lt;=12),"Q4"))))</f>
        <v>Q3</v>
      </c>
      <c r="F259" t="s">
        <v>648</v>
      </c>
      <c r="G259" t="s">
        <v>653</v>
      </c>
      <c r="H259" t="s">
        <v>688</v>
      </c>
      <c r="I259" t="s">
        <v>702</v>
      </c>
      <c r="J259" t="s">
        <v>707</v>
      </c>
      <c r="K259" t="s">
        <v>714</v>
      </c>
      <c r="L259" t="s">
        <v>731</v>
      </c>
      <c r="M259">
        <f t="shared" ref="M259:M322" si="33">(S259/$S$634)*100</f>
        <v>5.3914051085935553E-3</v>
      </c>
      <c r="N259" t="s">
        <v>853</v>
      </c>
      <c r="O259" s="7">
        <v>57.96</v>
      </c>
      <c r="P259" s="7">
        <v>88.51</v>
      </c>
      <c r="Q259" s="12">
        <v>4.2999999999999997E-2</v>
      </c>
      <c r="R259">
        <v>7</v>
      </c>
      <c r="S259">
        <f t="shared" si="27"/>
        <v>592.92849000000001</v>
      </c>
      <c r="T259">
        <f t="shared" si="28"/>
        <v>405.72</v>
      </c>
      <c r="U259">
        <f t="shared" si="29"/>
        <v>187.20848999999998</v>
      </c>
      <c r="V259">
        <f t="shared" si="30"/>
        <v>0.3157353595877978</v>
      </c>
    </row>
    <row r="260" spans="1:22" x14ac:dyDescent="0.25">
      <c r="A260" t="s">
        <v>600</v>
      </c>
      <c r="B260" s="14">
        <v>45764</v>
      </c>
      <c r="C260" s="14">
        <v>45764</v>
      </c>
      <c r="D260" s="7">
        <f t="shared" si="31"/>
        <v>0</v>
      </c>
      <c r="E260" s="5" t="str">
        <f t="shared" si="32"/>
        <v>Q2</v>
      </c>
      <c r="F260" t="s">
        <v>648</v>
      </c>
      <c r="G260" t="s">
        <v>655</v>
      </c>
      <c r="H260" t="s">
        <v>670</v>
      </c>
      <c r="I260" t="s">
        <v>701</v>
      </c>
      <c r="J260" t="s">
        <v>711</v>
      </c>
      <c r="K260" t="s">
        <v>716</v>
      </c>
      <c r="L260" t="s">
        <v>730</v>
      </c>
      <c r="M260">
        <f t="shared" si="33"/>
        <v>0.20619212891864661</v>
      </c>
      <c r="N260" t="s">
        <v>1317</v>
      </c>
      <c r="O260" s="7">
        <v>719.41</v>
      </c>
      <c r="P260" s="7">
        <v>1125.99</v>
      </c>
      <c r="Q260" s="12">
        <v>4.1000000000000002E-2</v>
      </c>
      <c r="R260">
        <v>21</v>
      </c>
      <c r="S260">
        <f t="shared" si="27"/>
        <v>22676.312610000001</v>
      </c>
      <c r="T260">
        <f t="shared" si="28"/>
        <v>15107.609999999999</v>
      </c>
      <c r="U260">
        <f t="shared" si="29"/>
        <v>7568.7026100000021</v>
      </c>
      <c r="V260">
        <f t="shared" si="30"/>
        <v>0.33377131194876403</v>
      </c>
    </row>
    <row r="261" spans="1:22" x14ac:dyDescent="0.25">
      <c r="A261" t="s">
        <v>71</v>
      </c>
      <c r="B261" s="14">
        <v>45697</v>
      </c>
      <c r="C261" s="14">
        <v>45717</v>
      </c>
      <c r="D261" s="7">
        <f t="shared" si="31"/>
        <v>20</v>
      </c>
      <c r="E261" s="5" t="str">
        <f t="shared" si="32"/>
        <v>Q1</v>
      </c>
      <c r="F261" t="s">
        <v>648</v>
      </c>
      <c r="G261" t="s">
        <v>655</v>
      </c>
      <c r="H261" t="s">
        <v>670</v>
      </c>
      <c r="I261" t="s">
        <v>701</v>
      </c>
      <c r="J261" t="s">
        <v>709</v>
      </c>
      <c r="K261" t="s">
        <v>717</v>
      </c>
      <c r="L261" t="s">
        <v>731</v>
      </c>
      <c r="M261">
        <f t="shared" si="33"/>
        <v>0.26969087607129644</v>
      </c>
      <c r="N261" t="s">
        <v>790</v>
      </c>
      <c r="O261" s="7">
        <v>1154.6400000000001</v>
      </c>
      <c r="P261" s="7">
        <v>2794.13</v>
      </c>
      <c r="Q261" s="12">
        <v>3.5000000000000003E-2</v>
      </c>
      <c r="R261">
        <v>11</v>
      </c>
      <c r="S261">
        <f t="shared" si="27"/>
        <v>29659.68995</v>
      </c>
      <c r="T261">
        <f t="shared" si="28"/>
        <v>12701.04</v>
      </c>
      <c r="U261">
        <f t="shared" si="29"/>
        <v>16958.649949999999</v>
      </c>
      <c r="V261">
        <f t="shared" si="30"/>
        <v>0.57177435025749479</v>
      </c>
    </row>
    <row r="262" spans="1:22" x14ac:dyDescent="0.25">
      <c r="A262" t="s">
        <v>394</v>
      </c>
      <c r="B262" s="14">
        <v>45694</v>
      </c>
      <c r="C262" s="14">
        <v>45703</v>
      </c>
      <c r="D262" s="7">
        <f t="shared" si="31"/>
        <v>9</v>
      </c>
      <c r="E262" s="5" t="str">
        <f t="shared" si="32"/>
        <v>Q1</v>
      </c>
      <c r="F262" t="s">
        <v>648</v>
      </c>
      <c r="G262" t="s">
        <v>655</v>
      </c>
      <c r="H262" t="s">
        <v>670</v>
      </c>
      <c r="I262" t="s">
        <v>703</v>
      </c>
      <c r="J262" t="s">
        <v>711</v>
      </c>
      <c r="K262" t="s">
        <v>721</v>
      </c>
      <c r="L262" t="s">
        <v>729</v>
      </c>
      <c r="M262">
        <f t="shared" si="33"/>
        <v>0.3018827024318102</v>
      </c>
      <c r="N262" t="s">
        <v>1113</v>
      </c>
      <c r="O262" s="7">
        <v>837.39</v>
      </c>
      <c r="P262" s="7">
        <v>1905.42</v>
      </c>
      <c r="Q262" s="12">
        <v>3.2000000000000001E-2</v>
      </c>
      <c r="R262">
        <v>18</v>
      </c>
      <c r="S262">
        <f t="shared" si="27"/>
        <v>33200.038079999998</v>
      </c>
      <c r="T262">
        <f t="shared" si="28"/>
        <v>15073.02</v>
      </c>
      <c r="U262">
        <f t="shared" si="29"/>
        <v>18127.018079999998</v>
      </c>
      <c r="V262">
        <f t="shared" si="30"/>
        <v>0.54599389423350919</v>
      </c>
    </row>
    <row r="263" spans="1:22" x14ac:dyDescent="0.25">
      <c r="A263" t="s">
        <v>386</v>
      </c>
      <c r="B263" s="14">
        <v>44962</v>
      </c>
      <c r="C263" s="14">
        <v>44985</v>
      </c>
      <c r="D263" s="7">
        <f t="shared" si="31"/>
        <v>23</v>
      </c>
      <c r="E263" s="5" t="str">
        <f t="shared" si="32"/>
        <v>Q1</v>
      </c>
      <c r="F263" t="s">
        <v>648</v>
      </c>
      <c r="G263" t="s">
        <v>660</v>
      </c>
      <c r="H263" t="s">
        <v>697</v>
      </c>
      <c r="I263" t="s">
        <v>703</v>
      </c>
      <c r="J263" t="s">
        <v>711</v>
      </c>
      <c r="K263" t="s">
        <v>716</v>
      </c>
      <c r="L263" t="s">
        <v>730</v>
      </c>
      <c r="M263">
        <f t="shared" si="33"/>
        <v>0.15342761574772351</v>
      </c>
      <c r="N263" t="s">
        <v>1105</v>
      </c>
      <c r="O263" s="7">
        <v>1214.49</v>
      </c>
      <c r="P263" s="7">
        <v>1533.95</v>
      </c>
      <c r="Q263" s="12">
        <v>0</v>
      </c>
      <c r="R263">
        <v>11</v>
      </c>
      <c r="S263">
        <f t="shared" si="27"/>
        <v>16873.45</v>
      </c>
      <c r="T263">
        <f t="shared" si="28"/>
        <v>13359.39</v>
      </c>
      <c r="U263">
        <f t="shared" si="29"/>
        <v>3514.0600000000013</v>
      </c>
      <c r="V263">
        <f t="shared" si="30"/>
        <v>0.20825972163369086</v>
      </c>
    </row>
    <row r="264" spans="1:22" x14ac:dyDescent="0.25">
      <c r="A264" t="s">
        <v>20</v>
      </c>
      <c r="B264" s="14">
        <v>44928</v>
      </c>
      <c r="C264" s="14">
        <v>44931</v>
      </c>
      <c r="D264" s="7">
        <f t="shared" si="31"/>
        <v>3</v>
      </c>
      <c r="E264" s="5" t="str">
        <f t="shared" si="32"/>
        <v>Q1</v>
      </c>
      <c r="F264" t="s">
        <v>648</v>
      </c>
      <c r="G264" t="s">
        <v>653</v>
      </c>
      <c r="H264" t="s">
        <v>667</v>
      </c>
      <c r="I264" t="s">
        <v>701</v>
      </c>
      <c r="J264" t="s">
        <v>708</v>
      </c>
      <c r="K264" t="s">
        <v>717</v>
      </c>
      <c r="L264" t="s">
        <v>731</v>
      </c>
      <c r="M264">
        <f t="shared" si="33"/>
        <v>3.7660369503527212E-2</v>
      </c>
      <c r="N264" t="s">
        <v>739</v>
      </c>
      <c r="O264" s="7">
        <v>315.87</v>
      </c>
      <c r="P264" s="7">
        <v>591.67999999999995</v>
      </c>
      <c r="Q264" s="12">
        <v>0</v>
      </c>
      <c r="R264">
        <v>7</v>
      </c>
      <c r="S264">
        <f t="shared" si="27"/>
        <v>4141.7599999999993</v>
      </c>
      <c r="T264">
        <f t="shared" si="28"/>
        <v>2211.09</v>
      </c>
      <c r="U264">
        <f t="shared" si="29"/>
        <v>1930.6699999999992</v>
      </c>
      <c r="V264">
        <f t="shared" si="30"/>
        <v>0.46614724175229844</v>
      </c>
    </row>
    <row r="265" spans="1:22" x14ac:dyDescent="0.25">
      <c r="A265" t="s">
        <v>408</v>
      </c>
      <c r="B265" s="14">
        <v>45360</v>
      </c>
      <c r="C265" s="14">
        <v>45377</v>
      </c>
      <c r="D265" s="7">
        <f t="shared" si="31"/>
        <v>17</v>
      </c>
      <c r="E265" s="5" t="str">
        <f t="shared" si="32"/>
        <v>Q1</v>
      </c>
      <c r="F265" t="s">
        <v>648</v>
      </c>
      <c r="G265" t="s">
        <v>660</v>
      </c>
      <c r="H265" t="s">
        <v>686</v>
      </c>
      <c r="I265" t="s">
        <v>702</v>
      </c>
      <c r="J265" t="s">
        <v>709</v>
      </c>
      <c r="K265" t="s">
        <v>714</v>
      </c>
      <c r="L265" t="s">
        <v>730</v>
      </c>
      <c r="M265">
        <f t="shared" si="33"/>
        <v>0.10261966968699604</v>
      </c>
      <c r="N265" t="s">
        <v>1126</v>
      </c>
      <c r="O265" s="7">
        <v>1137.4100000000001</v>
      </c>
      <c r="P265" s="7">
        <v>1680.93</v>
      </c>
      <c r="Q265" s="12">
        <v>0.254</v>
      </c>
      <c r="R265">
        <v>9</v>
      </c>
      <c r="S265">
        <f t="shared" si="27"/>
        <v>11285.764020000001</v>
      </c>
      <c r="T265">
        <f t="shared" si="28"/>
        <v>10236.69</v>
      </c>
      <c r="U265">
        <f t="shared" si="29"/>
        <v>1049.07402</v>
      </c>
      <c r="V265">
        <f t="shared" si="30"/>
        <v>9.2955516183121464E-2</v>
      </c>
    </row>
    <row r="266" spans="1:22" x14ac:dyDescent="0.25">
      <c r="A266" t="s">
        <v>521</v>
      </c>
      <c r="B266" s="14">
        <v>45774</v>
      </c>
      <c r="C266" s="14">
        <v>45794</v>
      </c>
      <c r="D266" s="7">
        <f t="shared" si="31"/>
        <v>20</v>
      </c>
      <c r="E266" s="5" t="str">
        <f t="shared" si="32"/>
        <v>Q2</v>
      </c>
      <c r="F266" t="s">
        <v>648</v>
      </c>
      <c r="G266" t="s">
        <v>660</v>
      </c>
      <c r="H266" t="s">
        <v>697</v>
      </c>
      <c r="I266" t="s">
        <v>701</v>
      </c>
      <c r="J266" t="s">
        <v>711</v>
      </c>
      <c r="K266" t="s">
        <v>725</v>
      </c>
      <c r="L266" t="s">
        <v>730</v>
      </c>
      <c r="M266">
        <f t="shared" si="33"/>
        <v>0.3164348261140556</v>
      </c>
      <c r="N266" t="s">
        <v>1239</v>
      </c>
      <c r="O266" s="7">
        <v>932.26</v>
      </c>
      <c r="P266" s="7">
        <v>1624.67</v>
      </c>
      <c r="Q266" s="12">
        <v>0.23499999999999999</v>
      </c>
      <c r="R266">
        <v>28</v>
      </c>
      <c r="S266">
        <f t="shared" si="27"/>
        <v>34800.431400000001</v>
      </c>
      <c r="T266">
        <f t="shared" si="28"/>
        <v>26103.279999999999</v>
      </c>
      <c r="U266">
        <f t="shared" si="29"/>
        <v>8697.1514000000025</v>
      </c>
      <c r="V266">
        <f t="shared" si="30"/>
        <v>0.24991504559337163</v>
      </c>
    </row>
    <row r="267" spans="1:22" x14ac:dyDescent="0.25">
      <c r="A267" t="s">
        <v>277</v>
      </c>
      <c r="B267" s="14">
        <v>45142</v>
      </c>
      <c r="C267" s="14">
        <v>45162</v>
      </c>
      <c r="D267" s="7">
        <f t="shared" si="31"/>
        <v>20</v>
      </c>
      <c r="E267" s="5" t="str">
        <f t="shared" si="32"/>
        <v>Q3</v>
      </c>
      <c r="F267" t="s">
        <v>648</v>
      </c>
      <c r="G267" t="s">
        <v>655</v>
      </c>
      <c r="H267" t="s">
        <v>672</v>
      </c>
      <c r="I267" t="s">
        <v>703</v>
      </c>
      <c r="J267" t="s">
        <v>710</v>
      </c>
      <c r="K267" t="s">
        <v>1430</v>
      </c>
      <c r="L267" t="s">
        <v>729</v>
      </c>
      <c r="M267">
        <f t="shared" si="33"/>
        <v>7.4434528797698865E-2</v>
      </c>
      <c r="N267" t="s">
        <v>996</v>
      </c>
      <c r="O267" s="7">
        <v>582.88</v>
      </c>
      <c r="P267" s="7">
        <v>1044.1400000000001</v>
      </c>
      <c r="Q267" s="12">
        <v>0.216</v>
      </c>
      <c r="R267">
        <v>10</v>
      </c>
      <c r="S267">
        <f t="shared" si="27"/>
        <v>8186.057600000001</v>
      </c>
      <c r="T267">
        <f t="shared" si="28"/>
        <v>5828.8</v>
      </c>
      <c r="U267">
        <f t="shared" si="29"/>
        <v>2357.2576000000008</v>
      </c>
      <c r="V267">
        <f t="shared" si="30"/>
        <v>0.28796005539956138</v>
      </c>
    </row>
    <row r="268" spans="1:22" x14ac:dyDescent="0.25">
      <c r="A268" t="s">
        <v>195</v>
      </c>
      <c r="B268" s="14">
        <v>45915</v>
      </c>
      <c r="C268" s="14">
        <v>45918</v>
      </c>
      <c r="D268" s="7">
        <f t="shared" si="31"/>
        <v>3</v>
      </c>
      <c r="E268" s="5" t="str">
        <f t="shared" si="32"/>
        <v>Q3</v>
      </c>
      <c r="F268" t="s">
        <v>648</v>
      </c>
      <c r="G268" t="s">
        <v>655</v>
      </c>
      <c r="H268" t="s">
        <v>692</v>
      </c>
      <c r="I268" t="s">
        <v>703</v>
      </c>
      <c r="J268" t="s">
        <v>709</v>
      </c>
      <c r="K268" t="s">
        <v>716</v>
      </c>
      <c r="L268" t="s">
        <v>733</v>
      </c>
      <c r="M268">
        <f t="shared" si="33"/>
        <v>1.6967097786368531E-4</v>
      </c>
      <c r="N268" t="s">
        <v>914</v>
      </c>
      <c r="O268" s="7">
        <v>5.5</v>
      </c>
      <c r="P268" s="7">
        <v>5.92</v>
      </c>
      <c r="Q268" s="12">
        <v>0.21199999999999999</v>
      </c>
      <c r="R268">
        <v>4</v>
      </c>
      <c r="S268">
        <f t="shared" si="27"/>
        <v>18.659839999999999</v>
      </c>
      <c r="T268">
        <f t="shared" si="28"/>
        <v>22</v>
      </c>
      <c r="U268">
        <f t="shared" si="29"/>
        <v>-3.3401600000000009</v>
      </c>
      <c r="V268">
        <f t="shared" si="30"/>
        <v>-0.17900260666758133</v>
      </c>
    </row>
    <row r="269" spans="1:22" x14ac:dyDescent="0.25">
      <c r="A269" t="s">
        <v>562</v>
      </c>
      <c r="B269" s="14">
        <v>45177</v>
      </c>
      <c r="C269" s="14">
        <v>45201</v>
      </c>
      <c r="D269" s="7">
        <f t="shared" si="31"/>
        <v>24</v>
      </c>
      <c r="E269" s="5" t="str">
        <f t="shared" si="32"/>
        <v>Q3</v>
      </c>
      <c r="F269" t="s">
        <v>648</v>
      </c>
      <c r="G269" t="s">
        <v>653</v>
      </c>
      <c r="H269" t="s">
        <v>667</v>
      </c>
      <c r="I269" t="s">
        <v>702</v>
      </c>
      <c r="J269" t="s">
        <v>711</v>
      </c>
      <c r="K269" t="s">
        <v>720</v>
      </c>
      <c r="L269" t="s">
        <v>733</v>
      </c>
      <c r="M269">
        <f t="shared" si="33"/>
        <v>0.14122029270662384</v>
      </c>
      <c r="N269" t="s">
        <v>1279</v>
      </c>
      <c r="O269" s="7">
        <v>1299.03</v>
      </c>
      <c r="P269" s="7">
        <v>2451.2199999999998</v>
      </c>
      <c r="Q269" s="12">
        <v>0.20799999999999999</v>
      </c>
      <c r="R269">
        <v>8</v>
      </c>
      <c r="S269">
        <f t="shared" si="27"/>
        <v>15530.929919999999</v>
      </c>
      <c r="T269">
        <f t="shared" si="28"/>
        <v>10392.24</v>
      </c>
      <c r="U269">
        <f t="shared" si="29"/>
        <v>5138.6899199999989</v>
      </c>
      <c r="V269">
        <f t="shared" si="30"/>
        <v>0.3308681416032041</v>
      </c>
    </row>
    <row r="270" spans="1:22" x14ac:dyDescent="0.25">
      <c r="A270" t="s">
        <v>588</v>
      </c>
      <c r="B270" s="14">
        <v>45293</v>
      </c>
      <c r="C270" s="14">
        <v>45293</v>
      </c>
      <c r="D270" s="7">
        <f t="shared" si="31"/>
        <v>0</v>
      </c>
      <c r="E270" s="5" t="str">
        <f t="shared" si="32"/>
        <v>Q1</v>
      </c>
      <c r="F270" t="s">
        <v>648</v>
      </c>
      <c r="G270" t="s">
        <v>653</v>
      </c>
      <c r="H270" t="s">
        <v>688</v>
      </c>
      <c r="I270" t="s">
        <v>702</v>
      </c>
      <c r="J270" t="s">
        <v>710</v>
      </c>
      <c r="K270" t="s">
        <v>720</v>
      </c>
      <c r="L270" t="s">
        <v>731</v>
      </c>
      <c r="M270">
        <f t="shared" si="33"/>
        <v>0.17403330739250494</v>
      </c>
      <c r="N270" t="s">
        <v>1305</v>
      </c>
      <c r="O270" s="7">
        <v>444.41</v>
      </c>
      <c r="P270" s="7">
        <v>754.24</v>
      </c>
      <c r="Q270" s="12">
        <v>0.20699999999999999</v>
      </c>
      <c r="R270">
        <v>32</v>
      </c>
      <c r="S270">
        <f t="shared" si="27"/>
        <v>19139.594240000002</v>
      </c>
      <c r="T270">
        <f t="shared" si="28"/>
        <v>14221.12</v>
      </c>
      <c r="U270">
        <f t="shared" si="29"/>
        <v>4918.4742400000014</v>
      </c>
      <c r="V270">
        <f t="shared" si="30"/>
        <v>0.25697902360546598</v>
      </c>
    </row>
    <row r="271" spans="1:22" x14ac:dyDescent="0.25">
      <c r="A271" t="s">
        <v>118</v>
      </c>
      <c r="B271" s="14">
        <v>45631</v>
      </c>
      <c r="C271" s="14">
        <v>45654</v>
      </c>
      <c r="D271" s="7">
        <f t="shared" si="31"/>
        <v>23</v>
      </c>
      <c r="E271" s="5" t="str">
        <f t="shared" si="32"/>
        <v>Q4</v>
      </c>
      <c r="F271" t="s">
        <v>648</v>
      </c>
      <c r="G271" t="s">
        <v>653</v>
      </c>
      <c r="H271" t="s">
        <v>688</v>
      </c>
      <c r="I271" t="s">
        <v>701</v>
      </c>
      <c r="J271" t="s">
        <v>711</v>
      </c>
      <c r="K271" t="s">
        <v>721</v>
      </c>
      <c r="L271" t="s">
        <v>733</v>
      </c>
      <c r="M271">
        <f t="shared" si="33"/>
        <v>5.4196375648139054E-2</v>
      </c>
      <c r="N271" t="s">
        <v>837</v>
      </c>
      <c r="O271" s="7">
        <v>107.03</v>
      </c>
      <c r="P271" s="7">
        <v>242.29</v>
      </c>
      <c r="Q271" s="12">
        <v>0.18</v>
      </c>
      <c r="R271">
        <v>30</v>
      </c>
      <c r="S271">
        <f t="shared" si="27"/>
        <v>5960.3340000000007</v>
      </c>
      <c r="T271">
        <f t="shared" si="28"/>
        <v>3210.9</v>
      </c>
      <c r="U271">
        <f t="shared" si="29"/>
        <v>2749.4340000000007</v>
      </c>
      <c r="V271">
        <f t="shared" si="30"/>
        <v>0.46128857879440988</v>
      </c>
    </row>
    <row r="272" spans="1:22" x14ac:dyDescent="0.25">
      <c r="A272" t="s">
        <v>396</v>
      </c>
      <c r="B272" s="14">
        <v>45876</v>
      </c>
      <c r="C272" s="14">
        <v>45906</v>
      </c>
      <c r="D272" s="7">
        <f t="shared" si="31"/>
        <v>30</v>
      </c>
      <c r="E272" s="5" t="str">
        <f t="shared" si="32"/>
        <v>Q3</v>
      </c>
      <c r="F272" t="s">
        <v>648</v>
      </c>
      <c r="G272" t="s">
        <v>653</v>
      </c>
      <c r="H272" t="s">
        <v>681</v>
      </c>
      <c r="I272" t="s">
        <v>702</v>
      </c>
      <c r="J272" t="s">
        <v>708</v>
      </c>
      <c r="K272" t="s">
        <v>724</v>
      </c>
      <c r="L272" t="s">
        <v>729</v>
      </c>
      <c r="M272">
        <f t="shared" si="33"/>
        <v>0.11712578595258961</v>
      </c>
      <c r="N272" t="s">
        <v>1114</v>
      </c>
      <c r="O272" s="7">
        <v>833.73</v>
      </c>
      <c r="P272" s="7">
        <v>1116.5999999999999</v>
      </c>
      <c r="Q272" s="12">
        <v>0.17599999999999999</v>
      </c>
      <c r="R272">
        <v>14</v>
      </c>
      <c r="S272">
        <f t="shared" si="27"/>
        <v>12881.097599999999</v>
      </c>
      <c r="T272">
        <f t="shared" si="28"/>
        <v>11672.220000000001</v>
      </c>
      <c r="U272">
        <f t="shared" si="29"/>
        <v>1208.877599999998</v>
      </c>
      <c r="V272">
        <f t="shared" si="30"/>
        <v>9.3848958958279924E-2</v>
      </c>
    </row>
    <row r="273" spans="1:22" x14ac:dyDescent="0.25">
      <c r="A273" t="s">
        <v>539</v>
      </c>
      <c r="B273" s="14">
        <v>45304</v>
      </c>
      <c r="C273" s="14">
        <v>45306</v>
      </c>
      <c r="D273" s="7">
        <f t="shared" si="31"/>
        <v>2</v>
      </c>
      <c r="E273" s="5" t="str">
        <f t="shared" si="32"/>
        <v>Q1</v>
      </c>
      <c r="F273" t="s">
        <v>648</v>
      </c>
      <c r="G273" t="s">
        <v>660</v>
      </c>
      <c r="H273" t="s">
        <v>686</v>
      </c>
      <c r="I273" t="s">
        <v>703</v>
      </c>
      <c r="J273" t="s">
        <v>708</v>
      </c>
      <c r="K273" t="s">
        <v>718</v>
      </c>
      <c r="L273" t="s">
        <v>727</v>
      </c>
      <c r="M273">
        <f t="shared" si="33"/>
        <v>5.85147627447372E-2</v>
      </c>
      <c r="N273" t="s">
        <v>1257</v>
      </c>
      <c r="O273" s="7">
        <v>1061.3699999999999</v>
      </c>
      <c r="P273" s="7">
        <v>1938.33</v>
      </c>
      <c r="Q273" s="12">
        <v>0.17</v>
      </c>
      <c r="R273">
        <v>4</v>
      </c>
      <c r="S273">
        <f t="shared" si="27"/>
        <v>6435.2555999999995</v>
      </c>
      <c r="T273">
        <f t="shared" si="28"/>
        <v>4245.4799999999996</v>
      </c>
      <c r="U273">
        <f t="shared" si="29"/>
        <v>2189.7755999999999</v>
      </c>
      <c r="V273">
        <f t="shared" si="30"/>
        <v>0.34027795259600879</v>
      </c>
    </row>
    <row r="274" spans="1:22" x14ac:dyDescent="0.25">
      <c r="A274" t="s">
        <v>311</v>
      </c>
      <c r="B274" s="14">
        <v>45353</v>
      </c>
      <c r="C274" s="14">
        <v>45367</v>
      </c>
      <c r="D274" s="7">
        <f t="shared" si="31"/>
        <v>14</v>
      </c>
      <c r="E274" s="5" t="str">
        <f t="shared" si="32"/>
        <v>Q1</v>
      </c>
      <c r="F274" t="s">
        <v>648</v>
      </c>
      <c r="G274" t="s">
        <v>653</v>
      </c>
      <c r="H274" t="s">
        <v>688</v>
      </c>
      <c r="I274" t="s">
        <v>703</v>
      </c>
      <c r="J274" t="s">
        <v>707</v>
      </c>
      <c r="K274" t="s">
        <v>719</v>
      </c>
      <c r="L274" t="s">
        <v>728</v>
      </c>
      <c r="M274">
        <f t="shared" si="33"/>
        <v>3.8570754397408348E-2</v>
      </c>
      <c r="N274" t="s">
        <v>1030</v>
      </c>
      <c r="O274" s="7">
        <v>248.24</v>
      </c>
      <c r="P274" s="7">
        <v>464.05</v>
      </c>
      <c r="Q274" s="12">
        <v>0.16900000000000001</v>
      </c>
      <c r="R274">
        <v>11</v>
      </c>
      <c r="S274">
        <f t="shared" si="27"/>
        <v>4241.88105</v>
      </c>
      <c r="T274">
        <f t="shared" si="28"/>
        <v>2730.6400000000003</v>
      </c>
      <c r="U274">
        <f t="shared" si="29"/>
        <v>1511.2410499999996</v>
      </c>
      <c r="V274">
        <f t="shared" si="30"/>
        <v>0.3562667203975462</v>
      </c>
    </row>
    <row r="275" spans="1:22" x14ac:dyDescent="0.25">
      <c r="A275" t="s">
        <v>288</v>
      </c>
      <c r="B275" s="14">
        <v>45131</v>
      </c>
      <c r="C275" s="14">
        <v>45151</v>
      </c>
      <c r="D275" s="7">
        <f t="shared" si="31"/>
        <v>20</v>
      </c>
      <c r="E275" s="5" t="str">
        <f t="shared" si="32"/>
        <v>Q3</v>
      </c>
      <c r="F275" t="s">
        <v>648</v>
      </c>
      <c r="G275" t="s">
        <v>653</v>
      </c>
      <c r="H275" t="s">
        <v>681</v>
      </c>
      <c r="I275" t="s">
        <v>702</v>
      </c>
      <c r="J275" t="s">
        <v>710</v>
      </c>
      <c r="K275" t="s">
        <v>712</v>
      </c>
      <c r="L275" t="s">
        <v>732</v>
      </c>
      <c r="M275">
        <f t="shared" si="33"/>
        <v>0.2685726933672507</v>
      </c>
      <c r="N275" t="s">
        <v>1007</v>
      </c>
      <c r="O275" s="7">
        <v>1082.3800000000001</v>
      </c>
      <c r="P275" s="7">
        <v>1766.55</v>
      </c>
      <c r="Q275" s="12">
        <v>0.16400000000000001</v>
      </c>
      <c r="R275">
        <v>20</v>
      </c>
      <c r="S275">
        <f t="shared" si="27"/>
        <v>29536.716</v>
      </c>
      <c r="T275">
        <f t="shared" si="28"/>
        <v>21647.600000000002</v>
      </c>
      <c r="U275">
        <f t="shared" si="29"/>
        <v>7889.1159999999982</v>
      </c>
      <c r="V275">
        <f t="shared" si="30"/>
        <v>0.26709523157550752</v>
      </c>
    </row>
    <row r="276" spans="1:22" x14ac:dyDescent="0.25">
      <c r="A276" t="s">
        <v>306</v>
      </c>
      <c r="B276" s="14">
        <v>45746</v>
      </c>
      <c r="C276" s="14">
        <v>45754</v>
      </c>
      <c r="D276" s="7">
        <f t="shared" si="31"/>
        <v>8</v>
      </c>
      <c r="E276" s="5" t="str">
        <f t="shared" si="32"/>
        <v>Q1</v>
      </c>
      <c r="F276" t="s">
        <v>648</v>
      </c>
      <c r="G276" t="s">
        <v>655</v>
      </c>
      <c r="H276" t="s">
        <v>670</v>
      </c>
      <c r="I276" t="s">
        <v>703</v>
      </c>
      <c r="J276" t="s">
        <v>707</v>
      </c>
      <c r="K276" t="s">
        <v>716</v>
      </c>
      <c r="L276" t="s">
        <v>728</v>
      </c>
      <c r="M276">
        <f t="shared" si="33"/>
        <v>9.992552223601148E-3</v>
      </c>
      <c r="N276" t="s">
        <v>1025</v>
      </c>
      <c r="O276" s="7">
        <v>71.62</v>
      </c>
      <c r="P276" s="7">
        <v>118.37</v>
      </c>
      <c r="Q276" s="12">
        <v>0.156</v>
      </c>
      <c r="R276">
        <v>11</v>
      </c>
      <c r="S276">
        <f t="shared" si="27"/>
        <v>1098.9470800000001</v>
      </c>
      <c r="T276">
        <f t="shared" si="28"/>
        <v>787.82</v>
      </c>
      <c r="U276">
        <f t="shared" si="29"/>
        <v>311.12708000000009</v>
      </c>
      <c r="V276">
        <f t="shared" si="30"/>
        <v>0.28311379652603474</v>
      </c>
    </row>
    <row r="277" spans="1:22" x14ac:dyDescent="0.25">
      <c r="A277" t="s">
        <v>265</v>
      </c>
      <c r="B277" s="14">
        <v>45537</v>
      </c>
      <c r="C277" s="14">
        <v>45543</v>
      </c>
      <c r="D277" s="7">
        <f t="shared" si="31"/>
        <v>6</v>
      </c>
      <c r="E277" s="5" t="str">
        <f t="shared" si="32"/>
        <v>Q3</v>
      </c>
      <c r="F277" t="s">
        <v>648</v>
      </c>
      <c r="G277" t="s">
        <v>660</v>
      </c>
      <c r="H277" t="s">
        <v>697</v>
      </c>
      <c r="I277" t="s">
        <v>704</v>
      </c>
      <c r="J277" t="s">
        <v>711</v>
      </c>
      <c r="K277" t="s">
        <v>722</v>
      </c>
      <c r="L277" t="s">
        <v>727</v>
      </c>
      <c r="M277">
        <f t="shared" si="33"/>
        <v>0.11080872488559977</v>
      </c>
      <c r="N277" t="s">
        <v>984</v>
      </c>
      <c r="O277" s="7">
        <v>462.94</v>
      </c>
      <c r="P277" s="7">
        <v>1015.7</v>
      </c>
      <c r="Q277" s="12">
        <v>0.14299999999999999</v>
      </c>
      <c r="R277">
        <v>14</v>
      </c>
      <c r="S277">
        <f t="shared" si="27"/>
        <v>12186.368600000002</v>
      </c>
      <c r="T277">
        <f t="shared" si="28"/>
        <v>6481.16</v>
      </c>
      <c r="U277">
        <f t="shared" si="29"/>
        <v>5705.2086000000018</v>
      </c>
      <c r="V277">
        <f t="shared" si="30"/>
        <v>0.46816314090483041</v>
      </c>
    </row>
    <row r="278" spans="1:22" x14ac:dyDescent="0.25">
      <c r="A278" t="s">
        <v>511</v>
      </c>
      <c r="B278" s="14">
        <v>45097</v>
      </c>
      <c r="C278" s="14">
        <v>45111</v>
      </c>
      <c r="D278" s="7">
        <f t="shared" si="31"/>
        <v>14</v>
      </c>
      <c r="E278" s="5" t="str">
        <f t="shared" si="32"/>
        <v>Q2</v>
      </c>
      <c r="F278" t="s">
        <v>648</v>
      </c>
      <c r="G278" t="s">
        <v>655</v>
      </c>
      <c r="H278" t="s">
        <v>672</v>
      </c>
      <c r="I278" t="s">
        <v>703</v>
      </c>
      <c r="J278" t="s">
        <v>710</v>
      </c>
      <c r="K278" t="s">
        <v>712</v>
      </c>
      <c r="L278" t="s">
        <v>729</v>
      </c>
      <c r="M278">
        <f t="shared" si="33"/>
        <v>0.27908186341382279</v>
      </c>
      <c r="N278" t="s">
        <v>1229</v>
      </c>
      <c r="O278" s="7">
        <v>1292.8599999999999</v>
      </c>
      <c r="P278" s="7">
        <v>2981.01</v>
      </c>
      <c r="Q278" s="12">
        <v>0.14199999999999999</v>
      </c>
      <c r="R278">
        <v>12</v>
      </c>
      <c r="S278">
        <f t="shared" si="27"/>
        <v>30692.47896</v>
      </c>
      <c r="T278">
        <f t="shared" si="28"/>
        <v>15514.32</v>
      </c>
      <c r="U278">
        <f t="shared" si="29"/>
        <v>15178.158960000001</v>
      </c>
      <c r="V278">
        <f t="shared" si="30"/>
        <v>0.49452372288927687</v>
      </c>
    </row>
    <row r="279" spans="1:22" x14ac:dyDescent="0.25">
      <c r="A279" t="s">
        <v>285</v>
      </c>
      <c r="B279" s="14">
        <v>45141</v>
      </c>
      <c r="C279" s="14">
        <v>45152</v>
      </c>
      <c r="D279" s="7">
        <f t="shared" si="31"/>
        <v>11</v>
      </c>
      <c r="E279" s="5" t="str">
        <f t="shared" si="32"/>
        <v>Q3</v>
      </c>
      <c r="F279" t="s">
        <v>648</v>
      </c>
      <c r="G279" t="s">
        <v>655</v>
      </c>
      <c r="H279" t="s">
        <v>672</v>
      </c>
      <c r="I279" t="s">
        <v>701</v>
      </c>
      <c r="J279" t="s">
        <v>709</v>
      </c>
      <c r="K279" t="s">
        <v>713</v>
      </c>
      <c r="L279" t="s">
        <v>733</v>
      </c>
      <c r="M279">
        <f t="shared" si="33"/>
        <v>6.5788653578891201E-2</v>
      </c>
      <c r="N279" t="s">
        <v>1004</v>
      </c>
      <c r="O279" s="7">
        <v>232.73</v>
      </c>
      <c r="P279" s="7">
        <v>334.19</v>
      </c>
      <c r="Q279" s="12">
        <v>0.13400000000000001</v>
      </c>
      <c r="R279">
        <v>25</v>
      </c>
      <c r="S279">
        <f t="shared" si="27"/>
        <v>7235.2134999999998</v>
      </c>
      <c r="T279">
        <f t="shared" si="28"/>
        <v>5818.25</v>
      </c>
      <c r="U279">
        <f t="shared" si="29"/>
        <v>1416.9634999999998</v>
      </c>
      <c r="V279">
        <f t="shared" si="30"/>
        <v>0.1958426658729559</v>
      </c>
    </row>
    <row r="280" spans="1:22" x14ac:dyDescent="0.25">
      <c r="A280" t="s">
        <v>177</v>
      </c>
      <c r="B280" s="14">
        <v>45385</v>
      </c>
      <c r="C280" s="14">
        <v>45389</v>
      </c>
      <c r="D280" s="7">
        <f t="shared" si="31"/>
        <v>4</v>
      </c>
      <c r="E280" s="5" t="str">
        <f t="shared" si="32"/>
        <v>Q2</v>
      </c>
      <c r="F280" t="s">
        <v>648</v>
      </c>
      <c r="G280" t="s">
        <v>655</v>
      </c>
      <c r="H280" t="s">
        <v>672</v>
      </c>
      <c r="I280" t="s">
        <v>703</v>
      </c>
      <c r="J280" t="s">
        <v>709</v>
      </c>
      <c r="K280" t="s">
        <v>725</v>
      </c>
      <c r="L280" t="s">
        <v>730</v>
      </c>
      <c r="M280">
        <f t="shared" si="33"/>
        <v>7.4148045715110605E-2</v>
      </c>
      <c r="N280" t="s">
        <v>896</v>
      </c>
      <c r="O280" s="7">
        <v>1023.27</v>
      </c>
      <c r="P280" s="7">
        <v>1343.64</v>
      </c>
      <c r="Q280" s="12">
        <v>0.13300000000000001</v>
      </c>
      <c r="R280">
        <v>7</v>
      </c>
      <c r="S280">
        <f t="shared" si="27"/>
        <v>8154.5511600000009</v>
      </c>
      <c r="T280">
        <f t="shared" si="28"/>
        <v>7162.8899999999994</v>
      </c>
      <c r="U280">
        <f t="shared" si="29"/>
        <v>991.66116000000147</v>
      </c>
      <c r="V280">
        <f t="shared" si="30"/>
        <v>0.12160830688810116</v>
      </c>
    </row>
    <row r="281" spans="1:22" x14ac:dyDescent="0.25">
      <c r="A281" t="s">
        <v>614</v>
      </c>
      <c r="B281" s="14">
        <v>45521</v>
      </c>
      <c r="C281" s="15">
        <v>45519</v>
      </c>
      <c r="D281" s="7">
        <f t="shared" si="31"/>
        <v>-2</v>
      </c>
      <c r="E281" s="5" t="str">
        <f t="shared" si="32"/>
        <v>Q3</v>
      </c>
      <c r="F281" t="s">
        <v>648</v>
      </c>
      <c r="G281" t="s">
        <v>655</v>
      </c>
      <c r="H281" t="s">
        <v>692</v>
      </c>
      <c r="I281" t="s">
        <v>704</v>
      </c>
      <c r="J281" t="s">
        <v>708</v>
      </c>
      <c r="K281" t="s">
        <v>724</v>
      </c>
      <c r="L281" t="s">
        <v>732</v>
      </c>
      <c r="M281">
        <f t="shared" si="33"/>
        <v>5.4212817779782305E-2</v>
      </c>
      <c r="N281" t="s">
        <v>1331</v>
      </c>
      <c r="O281" s="7">
        <v>165.3</v>
      </c>
      <c r="P281" s="7">
        <v>275.07</v>
      </c>
      <c r="Q281" s="12">
        <v>0.13300000000000001</v>
      </c>
      <c r="R281">
        <v>25</v>
      </c>
      <c r="S281">
        <f t="shared" si="27"/>
        <v>5962.1422499999999</v>
      </c>
      <c r="T281">
        <f t="shared" si="28"/>
        <v>4132.5</v>
      </c>
      <c r="U281">
        <f t="shared" si="29"/>
        <v>1829.6422499999999</v>
      </c>
      <c r="V281">
        <f t="shared" si="30"/>
        <v>0.30687665159280625</v>
      </c>
    </row>
    <row r="282" spans="1:22" x14ac:dyDescent="0.25">
      <c r="A282" t="s">
        <v>508</v>
      </c>
      <c r="B282" s="14">
        <v>45352</v>
      </c>
      <c r="C282" s="15">
        <v>45351</v>
      </c>
      <c r="D282" s="7">
        <f t="shared" si="31"/>
        <v>-1</v>
      </c>
      <c r="E282" s="5" t="str">
        <f t="shared" si="32"/>
        <v>Q1</v>
      </c>
      <c r="F282" t="s">
        <v>648</v>
      </c>
      <c r="G282" t="s">
        <v>655</v>
      </c>
      <c r="H282" t="s">
        <v>670</v>
      </c>
      <c r="I282" t="s">
        <v>703</v>
      </c>
      <c r="J282" t="s">
        <v>710</v>
      </c>
      <c r="K282" t="s">
        <v>714</v>
      </c>
      <c r="L282" t="s">
        <v>730</v>
      </c>
      <c r="M282">
        <f t="shared" si="33"/>
        <v>1.0015692779199953E-3</v>
      </c>
      <c r="N282" t="s">
        <v>1226</v>
      </c>
      <c r="O282" s="7">
        <v>5.34</v>
      </c>
      <c r="P282" s="7">
        <v>12.69</v>
      </c>
      <c r="Q282" s="12">
        <v>0.13200000000000001</v>
      </c>
      <c r="R282">
        <v>10</v>
      </c>
      <c r="S282">
        <f t="shared" si="27"/>
        <v>110.14919999999999</v>
      </c>
      <c r="T282">
        <f t="shared" si="28"/>
        <v>53.4</v>
      </c>
      <c r="U282">
        <f t="shared" si="29"/>
        <v>56.749199999999995</v>
      </c>
      <c r="V282">
        <f t="shared" si="30"/>
        <v>0.51520301554618642</v>
      </c>
    </row>
    <row r="283" spans="1:22" x14ac:dyDescent="0.25">
      <c r="A283" t="s">
        <v>317</v>
      </c>
      <c r="B283" s="14">
        <v>45125</v>
      </c>
      <c r="C283" s="14">
        <v>45129</v>
      </c>
      <c r="D283" s="7">
        <f t="shared" si="31"/>
        <v>4</v>
      </c>
      <c r="E283" s="5" t="str">
        <f t="shared" si="32"/>
        <v>Q3</v>
      </c>
      <c r="F283" t="s">
        <v>648</v>
      </c>
      <c r="G283" t="s">
        <v>655</v>
      </c>
      <c r="H283" t="s">
        <v>670</v>
      </c>
      <c r="I283" t="s">
        <v>704</v>
      </c>
      <c r="J283" t="s">
        <v>707</v>
      </c>
      <c r="K283" t="s">
        <v>721</v>
      </c>
      <c r="L283" t="s">
        <v>729</v>
      </c>
      <c r="M283">
        <f t="shared" si="33"/>
        <v>0.36086233236196869</v>
      </c>
      <c r="N283" t="s">
        <v>1036</v>
      </c>
      <c r="O283" s="7">
        <v>1269.55</v>
      </c>
      <c r="P283" s="7">
        <v>2071.1</v>
      </c>
      <c r="Q283" s="12">
        <v>0.129</v>
      </c>
      <c r="R283">
        <v>22</v>
      </c>
      <c r="S283">
        <f t="shared" si="27"/>
        <v>39686.4182</v>
      </c>
      <c r="T283">
        <f t="shared" si="28"/>
        <v>27930.1</v>
      </c>
      <c r="U283">
        <f t="shared" si="29"/>
        <v>11756.318200000002</v>
      </c>
      <c r="V283">
        <f t="shared" si="30"/>
        <v>0.29623026549672354</v>
      </c>
    </row>
    <row r="284" spans="1:22" x14ac:dyDescent="0.25">
      <c r="A284" t="s">
        <v>499</v>
      </c>
      <c r="B284" s="14">
        <v>45148</v>
      </c>
      <c r="C284" s="14">
        <v>45153</v>
      </c>
      <c r="D284" s="7">
        <f t="shared" si="31"/>
        <v>5</v>
      </c>
      <c r="E284" s="5" t="str">
        <f t="shared" si="32"/>
        <v>Q3</v>
      </c>
      <c r="F284" t="s">
        <v>648</v>
      </c>
      <c r="G284" t="s">
        <v>655</v>
      </c>
      <c r="H284" t="s">
        <v>670</v>
      </c>
      <c r="I284" t="s">
        <v>702</v>
      </c>
      <c r="J284" t="s">
        <v>710</v>
      </c>
      <c r="K284" t="s">
        <v>715</v>
      </c>
      <c r="L284" t="s">
        <v>729</v>
      </c>
      <c r="M284">
        <f t="shared" si="33"/>
        <v>0.19921263648608845</v>
      </c>
      <c r="N284" t="s">
        <v>1217</v>
      </c>
      <c r="O284" s="7">
        <v>1307.52</v>
      </c>
      <c r="P284" s="7">
        <v>1921.65</v>
      </c>
      <c r="Q284" s="12">
        <v>0.123</v>
      </c>
      <c r="R284">
        <v>13</v>
      </c>
      <c r="S284">
        <f t="shared" si="27"/>
        <v>21908.731650000002</v>
      </c>
      <c r="T284">
        <f t="shared" si="28"/>
        <v>16997.759999999998</v>
      </c>
      <c r="U284">
        <f t="shared" si="29"/>
        <v>4910.9716500000031</v>
      </c>
      <c r="V284">
        <f t="shared" si="30"/>
        <v>0.22415590863289445</v>
      </c>
    </row>
    <row r="285" spans="1:22" x14ac:dyDescent="0.25">
      <c r="A285" t="s">
        <v>313</v>
      </c>
      <c r="B285" s="14">
        <v>45377</v>
      </c>
      <c r="C285" s="14">
        <v>45387</v>
      </c>
      <c r="D285" s="7">
        <f t="shared" si="31"/>
        <v>10</v>
      </c>
      <c r="E285" s="5" t="str">
        <f t="shared" si="32"/>
        <v>Q1</v>
      </c>
      <c r="F285" t="s">
        <v>648</v>
      </c>
      <c r="G285" t="s">
        <v>660</v>
      </c>
      <c r="H285" t="s">
        <v>697</v>
      </c>
      <c r="I285" t="s">
        <v>704</v>
      </c>
      <c r="J285" t="s">
        <v>707</v>
      </c>
      <c r="K285" t="s">
        <v>713</v>
      </c>
      <c r="L285" t="s">
        <v>732</v>
      </c>
      <c r="M285">
        <f t="shared" si="33"/>
        <v>6.0849990078055321E-4</v>
      </c>
      <c r="N285" t="s">
        <v>1032</v>
      </c>
      <c r="O285" s="7">
        <v>5.66</v>
      </c>
      <c r="P285" s="7">
        <v>4.22</v>
      </c>
      <c r="Q285" s="12">
        <v>0.11899999999999999</v>
      </c>
      <c r="R285">
        <v>18</v>
      </c>
      <c r="S285">
        <f t="shared" si="27"/>
        <v>66.920760000000001</v>
      </c>
      <c r="T285">
        <f t="shared" si="28"/>
        <v>101.88</v>
      </c>
      <c r="U285">
        <f t="shared" si="29"/>
        <v>-34.959239999999994</v>
      </c>
      <c r="V285">
        <f t="shared" si="30"/>
        <v>-0.52239753403876454</v>
      </c>
    </row>
    <row r="286" spans="1:22" x14ac:dyDescent="0.25">
      <c r="A286" t="s">
        <v>291</v>
      </c>
      <c r="B286" s="14">
        <v>45378</v>
      </c>
      <c r="C286" s="14">
        <v>45393</v>
      </c>
      <c r="D286" s="7">
        <f t="shared" si="31"/>
        <v>15</v>
      </c>
      <c r="E286" s="5" t="str">
        <f t="shared" si="32"/>
        <v>Q1</v>
      </c>
      <c r="F286" t="s">
        <v>648</v>
      </c>
      <c r="G286" t="s">
        <v>660</v>
      </c>
      <c r="H286" t="s">
        <v>686</v>
      </c>
      <c r="I286" t="s">
        <v>705</v>
      </c>
      <c r="J286" t="s">
        <v>708</v>
      </c>
      <c r="K286" t="s">
        <v>719</v>
      </c>
      <c r="L286" t="s">
        <v>729</v>
      </c>
      <c r="M286">
        <f t="shared" si="33"/>
        <v>0.7233242738608533</v>
      </c>
      <c r="N286" t="s">
        <v>1010</v>
      </c>
      <c r="O286" s="7">
        <v>1338.35</v>
      </c>
      <c r="P286" s="7">
        <v>2247.14</v>
      </c>
      <c r="Q286" s="12">
        <v>0.115</v>
      </c>
      <c r="R286">
        <v>40</v>
      </c>
      <c r="S286">
        <f t="shared" si="27"/>
        <v>79548.755999999994</v>
      </c>
      <c r="T286">
        <f t="shared" si="28"/>
        <v>53534</v>
      </c>
      <c r="U286">
        <f t="shared" si="29"/>
        <v>26014.755999999994</v>
      </c>
      <c r="V286">
        <f t="shared" si="30"/>
        <v>0.32702907384246205</v>
      </c>
    </row>
    <row r="287" spans="1:22" x14ac:dyDescent="0.25">
      <c r="A287" t="s">
        <v>130</v>
      </c>
      <c r="B287" s="14">
        <v>44987</v>
      </c>
      <c r="C287" s="14">
        <v>44990</v>
      </c>
      <c r="D287" s="7">
        <f t="shared" si="31"/>
        <v>3</v>
      </c>
      <c r="E287" s="5" t="str">
        <f t="shared" si="32"/>
        <v>Q1</v>
      </c>
      <c r="F287" t="s">
        <v>648</v>
      </c>
      <c r="G287" t="s">
        <v>655</v>
      </c>
      <c r="H287" t="s">
        <v>672</v>
      </c>
      <c r="I287" t="s">
        <v>706</v>
      </c>
      <c r="J287" t="s">
        <v>711</v>
      </c>
      <c r="K287" t="s">
        <v>715</v>
      </c>
      <c r="L287" t="s">
        <v>732</v>
      </c>
      <c r="M287">
        <f t="shared" si="33"/>
        <v>0.22298382678201562</v>
      </c>
      <c r="N287" t="s">
        <v>849</v>
      </c>
      <c r="O287" s="7">
        <v>1473.58</v>
      </c>
      <c r="P287" s="7">
        <v>3436.52</v>
      </c>
      <c r="Q287" s="12">
        <v>0.108</v>
      </c>
      <c r="R287">
        <v>8</v>
      </c>
      <c r="S287">
        <f t="shared" si="27"/>
        <v>24523.006720000001</v>
      </c>
      <c r="T287">
        <f t="shared" si="28"/>
        <v>11788.64</v>
      </c>
      <c r="U287">
        <f t="shared" si="29"/>
        <v>12734.366720000002</v>
      </c>
      <c r="V287">
        <f t="shared" si="30"/>
        <v>0.51928243813652564</v>
      </c>
    </row>
    <row r="288" spans="1:22" x14ac:dyDescent="0.25">
      <c r="A288" t="s">
        <v>312</v>
      </c>
      <c r="B288" s="14">
        <v>45097</v>
      </c>
      <c r="C288" s="14">
        <v>45115</v>
      </c>
      <c r="D288" s="7">
        <f t="shared" si="31"/>
        <v>18</v>
      </c>
      <c r="E288" s="5" t="str">
        <f t="shared" si="32"/>
        <v>Q2</v>
      </c>
      <c r="F288" t="s">
        <v>648</v>
      </c>
      <c r="G288" t="s">
        <v>660</v>
      </c>
      <c r="H288" t="s">
        <v>697</v>
      </c>
      <c r="I288" t="s">
        <v>703</v>
      </c>
      <c r="J288" t="s">
        <v>711</v>
      </c>
      <c r="K288" t="s">
        <v>721</v>
      </c>
      <c r="L288" t="s">
        <v>732</v>
      </c>
      <c r="M288">
        <f t="shared" si="33"/>
        <v>2.9014088925820823E-2</v>
      </c>
      <c r="N288" t="s">
        <v>1031</v>
      </c>
      <c r="O288" s="7">
        <v>337</v>
      </c>
      <c r="P288" s="7">
        <v>511.03</v>
      </c>
      <c r="Q288" s="12">
        <v>0.108</v>
      </c>
      <c r="R288">
        <v>7</v>
      </c>
      <c r="S288">
        <f t="shared" si="27"/>
        <v>3190.8713200000002</v>
      </c>
      <c r="T288">
        <f t="shared" si="28"/>
        <v>2359</v>
      </c>
      <c r="U288">
        <f t="shared" si="29"/>
        <v>831.8713200000002</v>
      </c>
      <c r="V288">
        <f t="shared" si="30"/>
        <v>0.26070349963219458</v>
      </c>
    </row>
    <row r="289" spans="1:22" x14ac:dyDescent="0.25">
      <c r="A289" t="s">
        <v>463</v>
      </c>
      <c r="B289" s="14">
        <v>45446</v>
      </c>
      <c r="C289" s="14">
        <v>45467</v>
      </c>
      <c r="D289" s="7">
        <f t="shared" si="31"/>
        <v>21</v>
      </c>
      <c r="E289" s="5" t="str">
        <f t="shared" si="32"/>
        <v>Q2</v>
      </c>
      <c r="F289" t="s">
        <v>648</v>
      </c>
      <c r="G289" t="s">
        <v>653</v>
      </c>
      <c r="H289" t="s">
        <v>667</v>
      </c>
      <c r="I289" t="s">
        <v>705</v>
      </c>
      <c r="J289" t="s">
        <v>711</v>
      </c>
      <c r="K289" t="s">
        <v>715</v>
      </c>
      <c r="L289" t="s">
        <v>732</v>
      </c>
      <c r="M289">
        <f t="shared" si="33"/>
        <v>0.41415334427453698</v>
      </c>
      <c r="N289" t="s">
        <v>1181</v>
      </c>
      <c r="O289" s="7">
        <v>1205.5</v>
      </c>
      <c r="P289" s="7">
        <v>2210.17</v>
      </c>
      <c r="Q289" s="12">
        <v>0.104</v>
      </c>
      <c r="R289">
        <v>23</v>
      </c>
      <c r="S289">
        <f t="shared" si="27"/>
        <v>45547.183360000003</v>
      </c>
      <c r="T289">
        <f t="shared" si="28"/>
        <v>27726.5</v>
      </c>
      <c r="U289">
        <f t="shared" si="29"/>
        <v>17820.683360000003</v>
      </c>
      <c r="V289">
        <f t="shared" si="30"/>
        <v>0.39125763758314652</v>
      </c>
    </row>
    <row r="290" spans="1:22" x14ac:dyDescent="0.25">
      <c r="A290" t="s">
        <v>361</v>
      </c>
      <c r="B290" s="14">
        <v>45498</v>
      </c>
      <c r="C290" s="14">
        <v>45506</v>
      </c>
      <c r="D290" s="7">
        <f t="shared" si="31"/>
        <v>8</v>
      </c>
      <c r="E290" s="5" t="str">
        <f t="shared" si="32"/>
        <v>Q3</v>
      </c>
      <c r="F290" t="s">
        <v>648</v>
      </c>
      <c r="G290" t="s">
        <v>653</v>
      </c>
      <c r="H290" t="s">
        <v>681</v>
      </c>
      <c r="I290" t="s">
        <v>704</v>
      </c>
      <c r="J290" t="s">
        <v>707</v>
      </c>
      <c r="K290" t="s">
        <v>713</v>
      </c>
      <c r="L290" t="s">
        <v>733</v>
      </c>
      <c r="M290">
        <f t="shared" si="33"/>
        <v>0.71908474543717682</v>
      </c>
      <c r="N290" t="s">
        <v>1080</v>
      </c>
      <c r="O290" s="7">
        <v>986.81</v>
      </c>
      <c r="P290" s="7">
        <v>2050.31</v>
      </c>
      <c r="Q290" s="12">
        <v>0.10299999999999999</v>
      </c>
      <c r="R290">
        <v>43</v>
      </c>
      <c r="S290">
        <f t="shared" si="27"/>
        <v>79082.507010000001</v>
      </c>
      <c r="T290">
        <f t="shared" si="28"/>
        <v>42432.829999999994</v>
      </c>
      <c r="U290">
        <f t="shared" si="29"/>
        <v>36649.677010000007</v>
      </c>
      <c r="V290">
        <f t="shared" si="30"/>
        <v>0.46343595310358138</v>
      </c>
    </row>
    <row r="291" spans="1:22" x14ac:dyDescent="0.25">
      <c r="A291" t="s">
        <v>159</v>
      </c>
      <c r="B291" s="14">
        <v>45112</v>
      </c>
      <c r="C291" s="14">
        <v>45121</v>
      </c>
      <c r="D291" s="7">
        <f t="shared" si="31"/>
        <v>9</v>
      </c>
      <c r="E291" s="5" t="str">
        <f t="shared" si="32"/>
        <v>Q3</v>
      </c>
      <c r="F291" t="s">
        <v>648</v>
      </c>
      <c r="G291" t="s">
        <v>655</v>
      </c>
      <c r="H291" t="s">
        <v>672</v>
      </c>
      <c r="I291" t="s">
        <v>706</v>
      </c>
      <c r="J291" t="s">
        <v>711</v>
      </c>
      <c r="K291" t="s">
        <v>717</v>
      </c>
      <c r="L291" t="s">
        <v>729</v>
      </c>
      <c r="M291">
        <f t="shared" si="33"/>
        <v>0.23343259635224939</v>
      </c>
      <c r="N291" t="s">
        <v>878</v>
      </c>
      <c r="O291" s="7">
        <v>578.85</v>
      </c>
      <c r="P291" s="7">
        <v>998.76</v>
      </c>
      <c r="Q291" s="12">
        <v>8.2000000000000003E-2</v>
      </c>
      <c r="R291">
        <v>28</v>
      </c>
      <c r="S291">
        <f t="shared" si="27"/>
        <v>25672.127039999999</v>
      </c>
      <c r="T291">
        <f t="shared" si="28"/>
        <v>16207.800000000001</v>
      </c>
      <c r="U291">
        <f t="shared" si="29"/>
        <v>9464.3270399999983</v>
      </c>
      <c r="V291">
        <f t="shared" si="30"/>
        <v>0.36866158480960831</v>
      </c>
    </row>
    <row r="292" spans="1:22" x14ac:dyDescent="0.25">
      <c r="A292" t="s">
        <v>332</v>
      </c>
      <c r="B292" s="14">
        <v>45244</v>
      </c>
      <c r="C292" s="14">
        <v>45260</v>
      </c>
      <c r="D292" s="7">
        <f t="shared" si="31"/>
        <v>16</v>
      </c>
      <c r="E292" s="5" t="str">
        <f t="shared" si="32"/>
        <v>Q4</v>
      </c>
      <c r="F292" t="s">
        <v>648</v>
      </c>
      <c r="G292" t="s">
        <v>655</v>
      </c>
      <c r="H292" t="s">
        <v>670</v>
      </c>
      <c r="I292" t="s">
        <v>706</v>
      </c>
      <c r="J292" t="s">
        <v>708</v>
      </c>
      <c r="K292" t="s">
        <v>723</v>
      </c>
      <c r="L292" t="s">
        <v>729</v>
      </c>
      <c r="M292">
        <f t="shared" si="33"/>
        <v>0.14827328139943105</v>
      </c>
      <c r="N292" t="s">
        <v>1051</v>
      </c>
      <c r="O292" s="7">
        <v>1017.92</v>
      </c>
      <c r="P292" s="7">
        <v>1175.25</v>
      </c>
      <c r="Q292" s="12">
        <v>7.4999999999999997E-2</v>
      </c>
      <c r="R292">
        <v>15</v>
      </c>
      <c r="S292">
        <f t="shared" si="27"/>
        <v>16306.59375</v>
      </c>
      <c r="T292">
        <f t="shared" si="28"/>
        <v>15268.8</v>
      </c>
      <c r="U292">
        <f t="shared" si="29"/>
        <v>1037.7937500000007</v>
      </c>
      <c r="V292">
        <f t="shared" si="30"/>
        <v>6.3642583234159542E-2</v>
      </c>
    </row>
    <row r="293" spans="1:22" x14ac:dyDescent="0.25">
      <c r="A293" t="s">
        <v>92</v>
      </c>
      <c r="B293" s="14">
        <v>45473</v>
      </c>
      <c r="C293" s="15">
        <v>45471</v>
      </c>
      <c r="D293" s="7">
        <f t="shared" si="31"/>
        <v>-2</v>
      </c>
      <c r="E293" s="5" t="str">
        <f t="shared" si="32"/>
        <v>Q2</v>
      </c>
      <c r="F293" t="s">
        <v>648</v>
      </c>
      <c r="G293" t="s">
        <v>655</v>
      </c>
      <c r="H293" t="s">
        <v>692</v>
      </c>
      <c r="I293" t="s">
        <v>705</v>
      </c>
      <c r="J293" t="s">
        <v>708</v>
      </c>
      <c r="K293" t="s">
        <v>716</v>
      </c>
      <c r="L293" t="s">
        <v>733</v>
      </c>
      <c r="M293">
        <f t="shared" si="33"/>
        <v>0.30062969424828995</v>
      </c>
      <c r="N293" t="s">
        <v>811</v>
      </c>
      <c r="O293" s="7">
        <v>1112.98</v>
      </c>
      <c r="P293" s="7">
        <v>2095.73</v>
      </c>
      <c r="Q293" s="12">
        <v>7.1999999999999995E-2</v>
      </c>
      <c r="R293">
        <v>17</v>
      </c>
      <c r="S293">
        <f t="shared" si="27"/>
        <v>33062.236480000007</v>
      </c>
      <c r="T293">
        <f t="shared" si="28"/>
        <v>18920.66</v>
      </c>
      <c r="U293">
        <f t="shared" si="29"/>
        <v>14141.576480000007</v>
      </c>
      <c r="V293">
        <f t="shared" si="30"/>
        <v>0.42772594916724777</v>
      </c>
    </row>
    <row r="294" spans="1:22" x14ac:dyDescent="0.25">
      <c r="A294" t="s">
        <v>519</v>
      </c>
      <c r="B294" s="14">
        <v>45726</v>
      </c>
      <c r="C294" s="14">
        <v>45743</v>
      </c>
      <c r="D294" s="7">
        <f t="shared" si="31"/>
        <v>17</v>
      </c>
      <c r="E294" s="5" t="str">
        <f t="shared" si="32"/>
        <v>Q1</v>
      </c>
      <c r="F294" t="s">
        <v>648</v>
      </c>
      <c r="G294" t="s">
        <v>655</v>
      </c>
      <c r="H294" t="s">
        <v>692</v>
      </c>
      <c r="I294" t="s">
        <v>706</v>
      </c>
      <c r="J294" t="s">
        <v>711</v>
      </c>
      <c r="K294" t="s">
        <v>721</v>
      </c>
      <c r="L294" t="s">
        <v>729</v>
      </c>
      <c r="M294">
        <f t="shared" si="33"/>
        <v>9.265505212903799E-2</v>
      </c>
      <c r="N294" t="s">
        <v>1237</v>
      </c>
      <c r="O294" s="7">
        <v>996.73</v>
      </c>
      <c r="P294" s="7">
        <v>1217.43</v>
      </c>
      <c r="Q294" s="12">
        <v>7.0000000000000007E-2</v>
      </c>
      <c r="R294">
        <v>9</v>
      </c>
      <c r="S294">
        <f t="shared" si="27"/>
        <v>10189.8891</v>
      </c>
      <c r="T294">
        <f t="shared" si="28"/>
        <v>8970.57</v>
      </c>
      <c r="U294">
        <f t="shared" si="29"/>
        <v>1219.3191000000006</v>
      </c>
      <c r="V294">
        <f t="shared" si="30"/>
        <v>0.11965970267527255</v>
      </c>
    </row>
    <row r="295" spans="1:22" x14ac:dyDescent="0.25">
      <c r="A295" t="s">
        <v>145</v>
      </c>
      <c r="B295" s="14">
        <v>45700</v>
      </c>
      <c r="C295" s="14">
        <v>45716</v>
      </c>
      <c r="D295" s="7">
        <f t="shared" si="31"/>
        <v>16</v>
      </c>
      <c r="E295" s="5" t="str">
        <f t="shared" si="32"/>
        <v>Q1</v>
      </c>
      <c r="F295" t="s">
        <v>648</v>
      </c>
      <c r="G295" t="s">
        <v>655</v>
      </c>
      <c r="H295" t="s">
        <v>670</v>
      </c>
      <c r="I295" t="s">
        <v>703</v>
      </c>
      <c r="J295" t="s">
        <v>707</v>
      </c>
      <c r="K295" t="s">
        <v>717</v>
      </c>
      <c r="L295" t="s">
        <v>732</v>
      </c>
      <c r="M295">
        <f t="shared" si="33"/>
        <v>7.0050019281114984E-2</v>
      </c>
      <c r="N295" t="s">
        <v>864</v>
      </c>
      <c r="O295" s="7">
        <v>414.95</v>
      </c>
      <c r="P295" s="7">
        <v>1027.73</v>
      </c>
      <c r="Q295" s="12">
        <v>6.3E-2</v>
      </c>
      <c r="R295">
        <v>8</v>
      </c>
      <c r="S295">
        <f t="shared" si="27"/>
        <v>7703.8640800000003</v>
      </c>
      <c r="T295">
        <f t="shared" si="28"/>
        <v>3319.6</v>
      </c>
      <c r="U295">
        <f t="shared" si="29"/>
        <v>4384.2640800000008</v>
      </c>
      <c r="V295">
        <f t="shared" si="30"/>
        <v>0.56909935513815568</v>
      </c>
    </row>
    <row r="296" spans="1:22" x14ac:dyDescent="0.25">
      <c r="A296" t="s">
        <v>138</v>
      </c>
      <c r="B296" s="14">
        <v>45598</v>
      </c>
      <c r="C296" s="14">
        <v>45625</v>
      </c>
      <c r="D296" s="7">
        <f t="shared" si="31"/>
        <v>27</v>
      </c>
      <c r="E296" s="5" t="str">
        <f t="shared" si="32"/>
        <v>Q4</v>
      </c>
      <c r="F296" t="s">
        <v>648</v>
      </c>
      <c r="G296" t="s">
        <v>655</v>
      </c>
      <c r="H296" t="s">
        <v>672</v>
      </c>
      <c r="I296" t="s">
        <v>705</v>
      </c>
      <c r="J296" t="s">
        <v>707</v>
      </c>
      <c r="K296" t="s">
        <v>714</v>
      </c>
      <c r="L296" t="s">
        <v>729</v>
      </c>
      <c r="M296">
        <f t="shared" si="33"/>
        <v>9.8360378607615193E-2</v>
      </c>
      <c r="N296" t="s">
        <v>857</v>
      </c>
      <c r="O296" s="7">
        <v>1363.51</v>
      </c>
      <c r="P296" s="7">
        <v>1433.9</v>
      </c>
      <c r="Q296" s="12">
        <v>5.7000000000000002E-2</v>
      </c>
      <c r="R296">
        <v>8</v>
      </c>
      <c r="S296">
        <f t="shared" si="27"/>
        <v>10817.3416</v>
      </c>
      <c r="T296">
        <f t="shared" si="28"/>
        <v>10908.08</v>
      </c>
      <c r="U296">
        <f t="shared" si="29"/>
        <v>-90.738400000000183</v>
      </c>
      <c r="V296">
        <f t="shared" si="30"/>
        <v>-8.3882346842037592E-3</v>
      </c>
    </row>
    <row r="297" spans="1:22" x14ac:dyDescent="0.25">
      <c r="A297" t="s">
        <v>215</v>
      </c>
      <c r="B297" s="14">
        <v>44939</v>
      </c>
      <c r="C297" s="14">
        <v>44945</v>
      </c>
      <c r="D297" s="7">
        <f t="shared" si="31"/>
        <v>6</v>
      </c>
      <c r="E297" s="5" t="str">
        <f t="shared" si="32"/>
        <v>Q1</v>
      </c>
      <c r="F297" t="s">
        <v>648</v>
      </c>
      <c r="G297" t="s">
        <v>660</v>
      </c>
      <c r="H297" t="s">
        <v>677</v>
      </c>
      <c r="I297" t="s">
        <v>701</v>
      </c>
      <c r="K297" t="s">
        <v>722</v>
      </c>
      <c r="L297" t="s">
        <v>730</v>
      </c>
      <c r="M297">
        <f t="shared" si="33"/>
        <v>0.1360631896788545</v>
      </c>
      <c r="N297" t="s">
        <v>934</v>
      </c>
      <c r="O297" s="7">
        <v>833.57</v>
      </c>
      <c r="P297" s="7">
        <v>881.57</v>
      </c>
      <c r="Q297" s="12">
        <v>5.7000000000000002E-2</v>
      </c>
      <c r="R297">
        <v>18</v>
      </c>
      <c r="S297">
        <f t="shared" si="27"/>
        <v>14963.769179999999</v>
      </c>
      <c r="T297">
        <f t="shared" si="28"/>
        <v>15004.26</v>
      </c>
      <c r="U297">
        <f t="shared" si="29"/>
        <v>-40.490820000000895</v>
      </c>
      <c r="V297">
        <f t="shared" si="30"/>
        <v>-2.7059238560107821E-3</v>
      </c>
    </row>
    <row r="298" spans="1:22" x14ac:dyDescent="0.25">
      <c r="A298" t="s">
        <v>315</v>
      </c>
      <c r="B298" s="14">
        <v>45787</v>
      </c>
      <c r="C298" s="14">
        <v>45804</v>
      </c>
      <c r="D298" s="7">
        <f t="shared" si="31"/>
        <v>17</v>
      </c>
      <c r="E298" s="5" t="str">
        <f t="shared" si="32"/>
        <v>Q2</v>
      </c>
      <c r="F298" t="s">
        <v>648</v>
      </c>
      <c r="G298" t="s">
        <v>653</v>
      </c>
      <c r="H298" t="s">
        <v>688</v>
      </c>
      <c r="I298" t="s">
        <v>702</v>
      </c>
      <c r="J298" t="s">
        <v>710</v>
      </c>
      <c r="K298" t="s">
        <v>712</v>
      </c>
      <c r="L298" t="s">
        <v>727</v>
      </c>
      <c r="M298">
        <f t="shared" si="33"/>
        <v>0.2325701133686619</v>
      </c>
      <c r="N298" t="s">
        <v>1034</v>
      </c>
      <c r="O298" s="7">
        <v>862.89</v>
      </c>
      <c r="P298" s="7">
        <v>1426.03</v>
      </c>
      <c r="Q298" s="12">
        <v>5.6000000000000001E-2</v>
      </c>
      <c r="R298">
        <v>19</v>
      </c>
      <c r="S298">
        <f t="shared" si="27"/>
        <v>25577.274079999999</v>
      </c>
      <c r="T298">
        <f t="shared" si="28"/>
        <v>16394.91</v>
      </c>
      <c r="U298">
        <f t="shared" si="29"/>
        <v>9182.3640799999994</v>
      </c>
      <c r="V298">
        <f t="shared" si="30"/>
        <v>0.35900479665188778</v>
      </c>
    </row>
    <row r="299" spans="1:22" x14ac:dyDescent="0.25">
      <c r="A299" t="s">
        <v>339</v>
      </c>
      <c r="B299" s="14">
        <v>45544</v>
      </c>
      <c r="C299" s="14">
        <v>45573</v>
      </c>
      <c r="D299" s="7">
        <f t="shared" si="31"/>
        <v>29</v>
      </c>
      <c r="E299" s="5" t="str">
        <f t="shared" si="32"/>
        <v>Q3</v>
      </c>
      <c r="F299" t="s">
        <v>648</v>
      </c>
      <c r="G299" t="s">
        <v>655</v>
      </c>
      <c r="H299" t="s">
        <v>670</v>
      </c>
      <c r="I299" t="s">
        <v>702</v>
      </c>
      <c r="J299" t="s">
        <v>710</v>
      </c>
      <c r="K299" t="s">
        <v>713</v>
      </c>
      <c r="L299" t="s">
        <v>727</v>
      </c>
      <c r="M299">
        <f t="shared" si="33"/>
        <v>0.23655437289073666</v>
      </c>
      <c r="N299" t="s">
        <v>1058</v>
      </c>
      <c r="O299" s="7">
        <v>1010.33</v>
      </c>
      <c r="P299" s="7">
        <v>2492.14</v>
      </c>
      <c r="Q299" s="12">
        <v>5.0999999999999997E-2</v>
      </c>
      <c r="R299">
        <v>11</v>
      </c>
      <c r="S299">
        <f t="shared" si="27"/>
        <v>26015.449459999996</v>
      </c>
      <c r="T299">
        <f t="shared" si="28"/>
        <v>11113.630000000001</v>
      </c>
      <c r="U299">
        <f t="shared" si="29"/>
        <v>14901.819459999995</v>
      </c>
      <c r="V299">
        <f t="shared" si="30"/>
        <v>0.57280653493656752</v>
      </c>
    </row>
    <row r="300" spans="1:22" x14ac:dyDescent="0.25">
      <c r="A300" t="s">
        <v>333</v>
      </c>
      <c r="B300" s="14">
        <v>45748</v>
      </c>
      <c r="C300" s="14">
        <v>45774</v>
      </c>
      <c r="D300" s="7">
        <f t="shared" si="31"/>
        <v>26</v>
      </c>
      <c r="E300" s="5" t="str">
        <f t="shared" si="32"/>
        <v>Q2</v>
      </c>
      <c r="F300" t="s">
        <v>648</v>
      </c>
      <c r="G300" t="s">
        <v>660</v>
      </c>
      <c r="H300" t="s">
        <v>686</v>
      </c>
      <c r="I300" t="s">
        <v>701</v>
      </c>
      <c r="J300" t="s">
        <v>709</v>
      </c>
      <c r="K300" t="s">
        <v>714</v>
      </c>
      <c r="L300" t="s">
        <v>732</v>
      </c>
      <c r="M300">
        <f t="shared" si="33"/>
        <v>2.6509763645545224E-2</v>
      </c>
      <c r="N300" t="s">
        <v>1052</v>
      </c>
      <c r="O300" s="7">
        <v>156.55000000000001</v>
      </c>
      <c r="P300" s="7">
        <v>227.45</v>
      </c>
      <c r="Q300" s="12">
        <v>1.4E-2</v>
      </c>
      <c r="R300">
        <v>13</v>
      </c>
      <c r="S300">
        <f t="shared" si="27"/>
        <v>2915.4540999999999</v>
      </c>
      <c r="T300">
        <f t="shared" si="28"/>
        <v>2035.15</v>
      </c>
      <c r="U300">
        <f t="shared" si="29"/>
        <v>880.30409999999983</v>
      </c>
      <c r="V300">
        <f t="shared" si="30"/>
        <v>0.3019440779396938</v>
      </c>
    </row>
    <row r="301" spans="1:22" x14ac:dyDescent="0.25">
      <c r="A301" t="s">
        <v>471</v>
      </c>
      <c r="B301" s="14">
        <v>45265</v>
      </c>
      <c r="C301" s="14">
        <v>45272</v>
      </c>
      <c r="D301" s="7">
        <f t="shared" si="31"/>
        <v>7</v>
      </c>
      <c r="E301" s="5" t="str">
        <f t="shared" si="32"/>
        <v>Q4</v>
      </c>
      <c r="F301" t="s">
        <v>648</v>
      </c>
      <c r="G301" t="s">
        <v>655</v>
      </c>
      <c r="H301" t="s">
        <v>672</v>
      </c>
      <c r="I301" t="s">
        <v>701</v>
      </c>
      <c r="J301" t="s">
        <v>711</v>
      </c>
      <c r="K301" t="s">
        <v>721</v>
      </c>
      <c r="L301" t="s">
        <v>730</v>
      </c>
      <c r="M301">
        <f t="shared" si="33"/>
        <v>0.18911274717196772</v>
      </c>
      <c r="N301" t="s">
        <v>1189</v>
      </c>
      <c r="O301" s="7">
        <v>307.43</v>
      </c>
      <c r="P301" s="7">
        <v>495.19</v>
      </c>
      <c r="Q301" s="12">
        <v>0</v>
      </c>
      <c r="R301">
        <v>42</v>
      </c>
      <c r="S301">
        <f t="shared" si="27"/>
        <v>20797.98</v>
      </c>
      <c r="T301">
        <f t="shared" si="28"/>
        <v>12912.06</v>
      </c>
      <c r="U301">
        <f t="shared" si="29"/>
        <v>7885.92</v>
      </c>
      <c r="V301">
        <f t="shared" si="30"/>
        <v>0.37916759223732305</v>
      </c>
    </row>
    <row r="302" spans="1:22" x14ac:dyDescent="0.25">
      <c r="A302" t="s">
        <v>371</v>
      </c>
      <c r="B302" s="14">
        <v>45883</v>
      </c>
      <c r="C302" s="14">
        <v>45911</v>
      </c>
      <c r="D302" s="7">
        <f t="shared" si="31"/>
        <v>28</v>
      </c>
      <c r="E302" s="5" t="str">
        <f t="shared" si="32"/>
        <v>Q3</v>
      </c>
      <c r="F302" t="s">
        <v>648</v>
      </c>
      <c r="G302" t="s">
        <v>655</v>
      </c>
      <c r="H302" t="s">
        <v>670</v>
      </c>
      <c r="I302" t="s">
        <v>703</v>
      </c>
      <c r="J302" t="s">
        <v>710</v>
      </c>
      <c r="K302" t="s">
        <v>721</v>
      </c>
      <c r="L302" t="s">
        <v>728</v>
      </c>
      <c r="M302">
        <f t="shared" si="33"/>
        <v>0.39924796331479928</v>
      </c>
      <c r="N302" t="s">
        <v>1090</v>
      </c>
      <c r="O302" s="7">
        <v>1203.02</v>
      </c>
      <c r="P302" s="7">
        <v>2439.33</v>
      </c>
      <c r="Q302" s="12">
        <v>0</v>
      </c>
      <c r="R302">
        <v>18</v>
      </c>
      <c r="S302">
        <f t="shared" si="27"/>
        <v>43907.94</v>
      </c>
      <c r="T302">
        <f t="shared" si="28"/>
        <v>21654.36</v>
      </c>
      <c r="U302">
        <f t="shared" si="29"/>
        <v>22253.58</v>
      </c>
      <c r="V302">
        <f t="shared" si="30"/>
        <v>0.50682359500354612</v>
      </c>
    </row>
    <row r="303" spans="1:22" x14ac:dyDescent="0.25">
      <c r="A303" t="s">
        <v>283</v>
      </c>
      <c r="B303" s="14">
        <v>45284</v>
      </c>
      <c r="C303" s="14">
        <v>45292</v>
      </c>
      <c r="D303" s="7">
        <f t="shared" si="31"/>
        <v>8</v>
      </c>
      <c r="E303" s="5" t="str">
        <f t="shared" si="32"/>
        <v>Q4</v>
      </c>
      <c r="F303" t="s">
        <v>648</v>
      </c>
      <c r="G303" t="s">
        <v>655</v>
      </c>
      <c r="H303" t="s">
        <v>670</v>
      </c>
      <c r="I303" t="s">
        <v>702</v>
      </c>
      <c r="J303" t="s">
        <v>708</v>
      </c>
      <c r="K303" t="s">
        <v>712</v>
      </c>
      <c r="L303" t="s">
        <v>730</v>
      </c>
      <c r="M303">
        <f t="shared" si="33"/>
        <v>6.3166155177292474E-2</v>
      </c>
      <c r="N303" t="s">
        <v>1002</v>
      </c>
      <c r="O303" s="7">
        <v>526.49</v>
      </c>
      <c r="P303" s="7">
        <v>496.2</v>
      </c>
      <c r="Q303" s="12">
        <v>0</v>
      </c>
      <c r="R303">
        <v>14</v>
      </c>
      <c r="S303">
        <f t="shared" si="27"/>
        <v>6946.8</v>
      </c>
      <c r="T303">
        <f t="shared" si="28"/>
        <v>7370.8600000000006</v>
      </c>
      <c r="U303">
        <f t="shared" si="29"/>
        <v>-424.0600000000004</v>
      </c>
      <c r="V303">
        <f t="shared" si="30"/>
        <v>-6.1043933897621985E-2</v>
      </c>
    </row>
    <row r="304" spans="1:22" x14ac:dyDescent="0.25">
      <c r="A304" t="s">
        <v>316</v>
      </c>
      <c r="B304" s="14">
        <v>45204</v>
      </c>
      <c r="C304" s="14">
        <v>45230</v>
      </c>
      <c r="D304" s="7">
        <f t="shared" si="31"/>
        <v>26</v>
      </c>
      <c r="E304" s="5" t="str">
        <f t="shared" si="32"/>
        <v>Q4</v>
      </c>
      <c r="F304" t="s">
        <v>647</v>
      </c>
      <c r="G304" t="s">
        <v>659</v>
      </c>
      <c r="H304" t="s">
        <v>685</v>
      </c>
      <c r="I304" t="s">
        <v>704</v>
      </c>
      <c r="J304" t="s">
        <v>708</v>
      </c>
      <c r="K304" t="s">
        <v>713</v>
      </c>
      <c r="L304" t="s">
        <v>728</v>
      </c>
      <c r="M304">
        <f t="shared" si="33"/>
        <v>8.9712802845486675E-2</v>
      </c>
      <c r="N304" t="s">
        <v>1035</v>
      </c>
      <c r="O304" s="7">
        <v>649.91</v>
      </c>
      <c r="P304" s="7">
        <v>1360.12</v>
      </c>
      <c r="Q304" s="12">
        <v>0.19400000000000001</v>
      </c>
      <c r="R304">
        <v>9</v>
      </c>
      <c r="S304">
        <f t="shared" si="27"/>
        <v>9866.3104799999983</v>
      </c>
      <c r="T304">
        <f t="shared" si="28"/>
        <v>5849.19</v>
      </c>
      <c r="U304">
        <f t="shared" si="29"/>
        <v>4017.1204799999987</v>
      </c>
      <c r="V304">
        <f t="shared" si="30"/>
        <v>0.40715528749506769</v>
      </c>
    </row>
    <row r="305" spans="1:22" x14ac:dyDescent="0.25">
      <c r="A305" t="s">
        <v>457</v>
      </c>
      <c r="B305" s="14">
        <v>45189</v>
      </c>
      <c r="C305" s="14">
        <v>45197</v>
      </c>
      <c r="D305" s="7">
        <f t="shared" si="31"/>
        <v>8</v>
      </c>
      <c r="E305" s="5" t="str">
        <f t="shared" si="32"/>
        <v>Q3</v>
      </c>
      <c r="F305" t="s">
        <v>647</v>
      </c>
      <c r="G305" t="s">
        <v>654</v>
      </c>
      <c r="H305" t="s">
        <v>1430</v>
      </c>
      <c r="I305" t="s">
        <v>701</v>
      </c>
      <c r="J305" t="s">
        <v>709</v>
      </c>
      <c r="K305" t="s">
        <v>717</v>
      </c>
      <c r="L305" t="s">
        <v>733</v>
      </c>
      <c r="M305">
        <f t="shared" si="33"/>
        <v>0.28654350461462391</v>
      </c>
      <c r="N305" t="s">
        <v>1175</v>
      </c>
      <c r="O305" s="7">
        <v>1362.06</v>
      </c>
      <c r="P305" s="7">
        <v>3398.37</v>
      </c>
      <c r="Q305" s="12">
        <v>0.157</v>
      </c>
      <c r="R305">
        <v>11</v>
      </c>
      <c r="S305">
        <f t="shared" si="27"/>
        <v>31513.085009999999</v>
      </c>
      <c r="T305">
        <f t="shared" si="28"/>
        <v>14982.66</v>
      </c>
      <c r="U305">
        <f t="shared" si="29"/>
        <v>16530.425009999999</v>
      </c>
      <c r="V305">
        <f t="shared" si="30"/>
        <v>0.52455749745714919</v>
      </c>
    </row>
    <row r="306" spans="1:22" x14ac:dyDescent="0.25">
      <c r="A306" t="s">
        <v>431</v>
      </c>
      <c r="B306" s="14">
        <v>45626</v>
      </c>
      <c r="C306" s="14">
        <v>45636</v>
      </c>
      <c r="D306" s="7">
        <f t="shared" si="31"/>
        <v>10</v>
      </c>
      <c r="E306" s="5" t="str">
        <f t="shared" si="32"/>
        <v>Q4</v>
      </c>
      <c r="F306" t="s">
        <v>647</v>
      </c>
      <c r="G306" t="s">
        <v>654</v>
      </c>
      <c r="H306" t="s">
        <v>696</v>
      </c>
      <c r="I306" t="s">
        <v>705</v>
      </c>
      <c r="J306" t="s">
        <v>708</v>
      </c>
      <c r="K306" t="s">
        <v>721</v>
      </c>
      <c r="L306" t="s">
        <v>733</v>
      </c>
      <c r="M306">
        <f t="shared" si="33"/>
        <v>9.9053995148003879E-2</v>
      </c>
      <c r="N306" t="s">
        <v>1149</v>
      </c>
      <c r="O306" s="7">
        <v>851.49</v>
      </c>
      <c r="P306" s="7">
        <v>901.79</v>
      </c>
      <c r="Q306" s="12">
        <v>0.245</v>
      </c>
      <c r="R306">
        <v>16</v>
      </c>
      <c r="S306">
        <f t="shared" si="27"/>
        <v>10893.6232</v>
      </c>
      <c r="T306">
        <f t="shared" si="28"/>
        <v>13623.84</v>
      </c>
      <c r="U306">
        <f t="shared" si="29"/>
        <v>-2730.2168000000001</v>
      </c>
      <c r="V306">
        <f t="shared" si="30"/>
        <v>-0.25062522816100341</v>
      </c>
    </row>
    <row r="307" spans="1:22" x14ac:dyDescent="0.25">
      <c r="A307" t="s">
        <v>412</v>
      </c>
      <c r="B307" s="14">
        <v>45638</v>
      </c>
      <c r="C307" s="14">
        <v>45646</v>
      </c>
      <c r="D307" s="7">
        <f t="shared" si="31"/>
        <v>8</v>
      </c>
      <c r="E307" s="5" t="str">
        <f t="shared" si="32"/>
        <v>Q4</v>
      </c>
      <c r="F307" t="s">
        <v>647</v>
      </c>
      <c r="G307" t="s">
        <v>652</v>
      </c>
      <c r="H307" t="s">
        <v>689</v>
      </c>
      <c r="I307" t="s">
        <v>701</v>
      </c>
      <c r="J307" t="s">
        <v>707</v>
      </c>
      <c r="K307" t="s">
        <v>717</v>
      </c>
      <c r="L307" t="s">
        <v>731</v>
      </c>
      <c r="M307">
        <f t="shared" si="33"/>
        <v>0.1695016887851879</v>
      </c>
      <c r="N307" t="s">
        <v>1130</v>
      </c>
      <c r="O307" s="7">
        <v>1202.47</v>
      </c>
      <c r="P307" s="7">
        <v>1444.72</v>
      </c>
      <c r="Q307" s="12">
        <v>0.24099999999999999</v>
      </c>
      <c r="R307">
        <v>17</v>
      </c>
      <c r="S307">
        <f t="shared" si="27"/>
        <v>18641.222160000001</v>
      </c>
      <c r="T307">
        <f t="shared" si="28"/>
        <v>20441.990000000002</v>
      </c>
      <c r="U307">
        <f t="shared" si="29"/>
        <v>-1800.7678400000004</v>
      </c>
      <c r="V307">
        <f t="shared" si="30"/>
        <v>-9.6601382921343834E-2</v>
      </c>
    </row>
    <row r="308" spans="1:22" x14ac:dyDescent="0.25">
      <c r="A308" t="s">
        <v>202</v>
      </c>
      <c r="B308" s="14">
        <v>44955</v>
      </c>
      <c r="C308" s="14">
        <v>44985</v>
      </c>
      <c r="D308" s="7">
        <f t="shared" si="31"/>
        <v>30</v>
      </c>
      <c r="E308" s="5" t="str">
        <f t="shared" si="32"/>
        <v>Q1</v>
      </c>
      <c r="F308" t="s">
        <v>647</v>
      </c>
      <c r="G308" t="s">
        <v>654</v>
      </c>
      <c r="H308" t="s">
        <v>668</v>
      </c>
      <c r="I308" t="s">
        <v>703</v>
      </c>
      <c r="J308" t="s">
        <v>707</v>
      </c>
      <c r="K308" t="s">
        <v>717</v>
      </c>
      <c r="L308" t="s">
        <v>733</v>
      </c>
      <c r="M308">
        <f t="shared" si="33"/>
        <v>0.24331797697505639</v>
      </c>
      <c r="N308" t="s">
        <v>921</v>
      </c>
      <c r="O308" s="7">
        <v>1262.0999999999999</v>
      </c>
      <c r="P308" s="7">
        <v>1395.53</v>
      </c>
      <c r="Q308" s="12">
        <v>0.23300000000000001</v>
      </c>
      <c r="R308">
        <v>25</v>
      </c>
      <c r="S308">
        <f t="shared" si="27"/>
        <v>26759.28775</v>
      </c>
      <c r="T308">
        <f t="shared" si="28"/>
        <v>31552.499999999996</v>
      </c>
      <c r="U308">
        <f t="shared" si="29"/>
        <v>-4793.2122499999969</v>
      </c>
      <c r="V308">
        <f t="shared" si="30"/>
        <v>-0.17912331205452198</v>
      </c>
    </row>
    <row r="309" spans="1:22" x14ac:dyDescent="0.25">
      <c r="A309" t="s">
        <v>181</v>
      </c>
      <c r="B309" s="14">
        <v>45034</v>
      </c>
      <c r="C309" s="14">
        <v>45064</v>
      </c>
      <c r="D309" s="7">
        <f t="shared" si="31"/>
        <v>30</v>
      </c>
      <c r="E309" s="5" t="str">
        <f t="shared" si="32"/>
        <v>Q2</v>
      </c>
      <c r="F309" t="s">
        <v>647</v>
      </c>
      <c r="G309" t="s">
        <v>659</v>
      </c>
      <c r="H309" t="s">
        <v>676</v>
      </c>
      <c r="I309" t="s">
        <v>703</v>
      </c>
      <c r="J309" t="s">
        <v>711</v>
      </c>
      <c r="K309" t="s">
        <v>722</v>
      </c>
      <c r="L309" t="s">
        <v>731</v>
      </c>
      <c r="M309">
        <f t="shared" si="33"/>
        <v>0.13137609802096978</v>
      </c>
      <c r="N309" t="s">
        <v>900</v>
      </c>
      <c r="O309" s="7">
        <v>329.03</v>
      </c>
      <c r="P309" s="7">
        <v>391.15</v>
      </c>
      <c r="Q309" s="12">
        <v>0.19700000000000001</v>
      </c>
      <c r="R309">
        <v>46</v>
      </c>
      <c r="S309">
        <f t="shared" si="27"/>
        <v>14448.298699999998</v>
      </c>
      <c r="T309">
        <f t="shared" si="28"/>
        <v>15135.38</v>
      </c>
      <c r="U309">
        <f t="shared" si="29"/>
        <v>-687.08130000000165</v>
      </c>
      <c r="V309">
        <f t="shared" si="30"/>
        <v>-4.7554477815440081E-2</v>
      </c>
    </row>
    <row r="310" spans="1:22" x14ac:dyDescent="0.25">
      <c r="A310" t="s">
        <v>637</v>
      </c>
      <c r="B310" s="14">
        <v>45501</v>
      </c>
      <c r="C310" s="14">
        <v>45527</v>
      </c>
      <c r="D310" s="7">
        <f t="shared" si="31"/>
        <v>26</v>
      </c>
      <c r="E310" s="5" t="str">
        <f t="shared" si="32"/>
        <v>Q3</v>
      </c>
      <c r="F310" t="s">
        <v>647</v>
      </c>
      <c r="G310" t="s">
        <v>654</v>
      </c>
      <c r="H310" t="s">
        <v>696</v>
      </c>
      <c r="I310" t="s">
        <v>701</v>
      </c>
      <c r="J310" t="s">
        <v>709</v>
      </c>
      <c r="K310" t="s">
        <v>713</v>
      </c>
      <c r="L310" t="s">
        <v>729</v>
      </c>
      <c r="M310">
        <f t="shared" si="33"/>
        <v>0.27487656872212196</v>
      </c>
      <c r="N310" t="s">
        <v>1354</v>
      </c>
      <c r="O310" s="7">
        <v>1339.24</v>
      </c>
      <c r="P310" s="7">
        <v>1558.89</v>
      </c>
      <c r="Q310" s="12">
        <v>0.192</v>
      </c>
      <c r="R310">
        <v>24</v>
      </c>
      <c r="S310">
        <f t="shared" si="27"/>
        <v>30229.994880000002</v>
      </c>
      <c r="T310">
        <f t="shared" si="28"/>
        <v>32141.760000000002</v>
      </c>
      <c r="U310">
        <f t="shared" si="29"/>
        <v>-1911.76512</v>
      </c>
      <c r="V310">
        <f t="shared" si="30"/>
        <v>-6.3240669659021781E-2</v>
      </c>
    </row>
    <row r="311" spans="1:22" x14ac:dyDescent="0.25">
      <c r="A311" t="s">
        <v>183</v>
      </c>
      <c r="B311" s="14">
        <v>45206</v>
      </c>
      <c r="C311" s="14">
        <v>45222</v>
      </c>
      <c r="D311" s="7">
        <f t="shared" si="31"/>
        <v>16</v>
      </c>
      <c r="E311" s="5" t="str">
        <f t="shared" si="32"/>
        <v>Q4</v>
      </c>
      <c r="F311" t="s">
        <v>647</v>
      </c>
      <c r="G311" t="s">
        <v>654</v>
      </c>
      <c r="H311" t="s">
        <v>696</v>
      </c>
      <c r="I311" t="s">
        <v>704</v>
      </c>
      <c r="J311" t="s">
        <v>709</v>
      </c>
      <c r="K311" t="s">
        <v>715</v>
      </c>
      <c r="L311" t="s">
        <v>732</v>
      </c>
      <c r="M311">
        <f t="shared" si="33"/>
        <v>6.2052176548770224E-2</v>
      </c>
      <c r="N311" t="s">
        <v>902</v>
      </c>
      <c r="O311" s="7">
        <v>906.81</v>
      </c>
      <c r="P311" s="7">
        <v>1395.56</v>
      </c>
      <c r="Q311" s="12">
        <v>0.185</v>
      </c>
      <c r="R311">
        <v>6</v>
      </c>
      <c r="S311">
        <f t="shared" si="27"/>
        <v>6824.2884000000004</v>
      </c>
      <c r="T311">
        <f t="shared" si="28"/>
        <v>5440.86</v>
      </c>
      <c r="U311">
        <f t="shared" si="29"/>
        <v>1383.4284000000007</v>
      </c>
      <c r="V311">
        <f t="shared" si="30"/>
        <v>0.20272126834498974</v>
      </c>
    </row>
    <row r="312" spans="1:22" x14ac:dyDescent="0.25">
      <c r="A312" t="s">
        <v>368</v>
      </c>
      <c r="B312" s="14">
        <v>45512</v>
      </c>
      <c r="C312" s="14">
        <v>45524</v>
      </c>
      <c r="D312" s="7">
        <f t="shared" si="31"/>
        <v>12</v>
      </c>
      <c r="E312" s="5" t="str">
        <f t="shared" si="32"/>
        <v>Q3</v>
      </c>
      <c r="F312" t="s">
        <v>647</v>
      </c>
      <c r="G312" t="s">
        <v>652</v>
      </c>
      <c r="H312" t="s">
        <v>666</v>
      </c>
      <c r="I312" t="s">
        <v>705</v>
      </c>
      <c r="J312" t="s">
        <v>708</v>
      </c>
      <c r="K312" t="s">
        <v>722</v>
      </c>
      <c r="L312" t="s">
        <v>729</v>
      </c>
      <c r="M312">
        <f t="shared" si="33"/>
        <v>0.31658519080595759</v>
      </c>
      <c r="N312" t="s">
        <v>1087</v>
      </c>
      <c r="O312" s="7">
        <v>1233.3599999999999</v>
      </c>
      <c r="P312" s="7">
        <v>2120.4</v>
      </c>
      <c r="Q312" s="12">
        <v>0.17899999999999999</v>
      </c>
      <c r="R312">
        <v>20</v>
      </c>
      <c r="S312">
        <f t="shared" si="27"/>
        <v>34816.968000000001</v>
      </c>
      <c r="T312">
        <f t="shared" si="28"/>
        <v>24667.199999999997</v>
      </c>
      <c r="U312">
        <f t="shared" si="29"/>
        <v>10149.768000000004</v>
      </c>
      <c r="V312">
        <f t="shared" si="30"/>
        <v>0.29151785991244278</v>
      </c>
    </row>
    <row r="313" spans="1:22" x14ac:dyDescent="0.25">
      <c r="A313" t="s">
        <v>194</v>
      </c>
      <c r="B313" s="14">
        <v>45890</v>
      </c>
      <c r="C313" s="14">
        <v>45912</v>
      </c>
      <c r="D313" s="7">
        <f t="shared" si="31"/>
        <v>22</v>
      </c>
      <c r="E313" s="5" t="str">
        <f t="shared" si="32"/>
        <v>Q3</v>
      </c>
      <c r="F313" t="s">
        <v>647</v>
      </c>
      <c r="G313" t="s">
        <v>659</v>
      </c>
      <c r="H313" t="s">
        <v>676</v>
      </c>
      <c r="I313" t="s">
        <v>702</v>
      </c>
      <c r="J313" t="s">
        <v>707</v>
      </c>
      <c r="K313" t="s">
        <v>717</v>
      </c>
      <c r="L313" t="s">
        <v>728</v>
      </c>
      <c r="M313">
        <f t="shared" si="33"/>
        <v>4.0195782847070059E-2</v>
      </c>
      <c r="N313" t="s">
        <v>913</v>
      </c>
      <c r="O313" s="7">
        <v>352.66</v>
      </c>
      <c r="P313" s="7">
        <v>411.18</v>
      </c>
      <c r="Q313" s="12">
        <v>0.17299999999999999</v>
      </c>
      <c r="R313">
        <v>13</v>
      </c>
      <c r="S313">
        <f t="shared" si="27"/>
        <v>4420.5961799999995</v>
      </c>
      <c r="T313">
        <f t="shared" si="28"/>
        <v>4584.58</v>
      </c>
      <c r="U313">
        <f t="shared" si="29"/>
        <v>-163.98382000000038</v>
      </c>
      <c r="V313">
        <f t="shared" si="30"/>
        <v>-3.7095408248758066E-2</v>
      </c>
    </row>
    <row r="314" spans="1:22" x14ac:dyDescent="0.25">
      <c r="A314" t="s">
        <v>60</v>
      </c>
      <c r="B314" s="14">
        <v>45035</v>
      </c>
      <c r="C314" s="14">
        <v>45046</v>
      </c>
      <c r="D314" s="7">
        <f t="shared" si="31"/>
        <v>11</v>
      </c>
      <c r="E314" s="5" t="str">
        <f t="shared" si="32"/>
        <v>Q2</v>
      </c>
      <c r="F314" t="s">
        <v>647</v>
      </c>
      <c r="G314" t="s">
        <v>654</v>
      </c>
      <c r="H314" t="s">
        <v>680</v>
      </c>
      <c r="I314" t="s">
        <v>705</v>
      </c>
      <c r="J314" t="s">
        <v>709</v>
      </c>
      <c r="K314" t="s">
        <v>720</v>
      </c>
      <c r="L314" t="s">
        <v>729</v>
      </c>
      <c r="M314">
        <f t="shared" si="33"/>
        <v>0.29557701032709666</v>
      </c>
      <c r="N314" t="s">
        <v>779</v>
      </c>
      <c r="O314" s="7">
        <v>826.55</v>
      </c>
      <c r="P314" s="7">
        <v>1397.05</v>
      </c>
      <c r="Q314" s="12">
        <v>0.16900000000000001</v>
      </c>
      <c r="R314">
        <v>28</v>
      </c>
      <c r="S314">
        <f t="shared" si="27"/>
        <v>32506.559399999998</v>
      </c>
      <c r="T314">
        <f t="shared" si="28"/>
        <v>23143.399999999998</v>
      </c>
      <c r="U314">
        <f t="shared" si="29"/>
        <v>9363.1594000000005</v>
      </c>
      <c r="V314">
        <f t="shared" si="30"/>
        <v>0.28803907804527601</v>
      </c>
    </row>
    <row r="315" spans="1:22" x14ac:dyDescent="0.25">
      <c r="A315" t="s">
        <v>438</v>
      </c>
      <c r="B315" s="14">
        <v>45915</v>
      </c>
      <c r="C315" s="14">
        <v>45925</v>
      </c>
      <c r="D315" s="7">
        <f t="shared" si="31"/>
        <v>10</v>
      </c>
      <c r="E315" s="5" t="str">
        <f t="shared" si="32"/>
        <v>Q3</v>
      </c>
      <c r="F315" t="s">
        <v>647</v>
      </c>
      <c r="G315" t="s">
        <v>654</v>
      </c>
      <c r="H315" t="s">
        <v>680</v>
      </c>
      <c r="I315" t="s">
        <v>704</v>
      </c>
      <c r="J315" t="s">
        <v>711</v>
      </c>
      <c r="K315" t="s">
        <v>720</v>
      </c>
      <c r="L315" t="s">
        <v>730</v>
      </c>
      <c r="M315">
        <f t="shared" si="33"/>
        <v>0.26939654413837599</v>
      </c>
      <c r="N315" t="s">
        <v>1156</v>
      </c>
      <c r="O315" s="7">
        <v>1488.91</v>
      </c>
      <c r="P315" s="7">
        <v>1483.74</v>
      </c>
      <c r="Q315" s="12">
        <v>0.16800000000000001</v>
      </c>
      <c r="R315">
        <v>24</v>
      </c>
      <c r="S315">
        <f t="shared" si="27"/>
        <v>29627.320319999999</v>
      </c>
      <c r="T315">
        <f t="shared" si="28"/>
        <v>35733.840000000004</v>
      </c>
      <c r="U315">
        <f t="shared" si="29"/>
        <v>-6106.5196800000049</v>
      </c>
      <c r="V315">
        <f t="shared" si="30"/>
        <v>-0.20611110333450519</v>
      </c>
    </row>
    <row r="316" spans="1:22" x14ac:dyDescent="0.25">
      <c r="A316" t="s">
        <v>641</v>
      </c>
      <c r="B316" s="14">
        <v>45282</v>
      </c>
      <c r="C316" s="14">
        <v>45307</v>
      </c>
      <c r="D316" s="7">
        <f t="shared" si="31"/>
        <v>25</v>
      </c>
      <c r="E316" s="5" t="str">
        <f t="shared" si="32"/>
        <v>Q4</v>
      </c>
      <c r="F316" t="s">
        <v>647</v>
      </c>
      <c r="G316" t="s">
        <v>654</v>
      </c>
      <c r="H316" t="s">
        <v>696</v>
      </c>
      <c r="I316" t="s">
        <v>705</v>
      </c>
      <c r="J316" t="s">
        <v>707</v>
      </c>
      <c r="K316" t="s">
        <v>720</v>
      </c>
      <c r="L316" t="s">
        <v>727</v>
      </c>
      <c r="M316">
        <f t="shared" si="33"/>
        <v>0.12715205488916728</v>
      </c>
      <c r="N316" t="s">
        <v>1358</v>
      </c>
      <c r="O316" s="7">
        <v>1346.81</v>
      </c>
      <c r="P316" s="7">
        <v>978.09</v>
      </c>
      <c r="Q316" s="12">
        <v>0.159</v>
      </c>
      <c r="R316">
        <v>17</v>
      </c>
      <c r="S316">
        <f t="shared" si="27"/>
        <v>13983.752729999998</v>
      </c>
      <c r="T316">
        <f t="shared" si="28"/>
        <v>22895.77</v>
      </c>
      <c r="U316">
        <f t="shared" si="29"/>
        <v>-8912.0172700000021</v>
      </c>
      <c r="V316">
        <f t="shared" si="30"/>
        <v>-0.6373122753293996</v>
      </c>
    </row>
    <row r="317" spans="1:22" x14ac:dyDescent="0.25">
      <c r="A317" t="s">
        <v>101</v>
      </c>
      <c r="B317" s="14">
        <v>45388</v>
      </c>
      <c r="C317" s="14">
        <v>45407</v>
      </c>
      <c r="D317" s="7">
        <f t="shared" si="31"/>
        <v>19</v>
      </c>
      <c r="E317" s="5" t="str">
        <f t="shared" si="32"/>
        <v>Q2</v>
      </c>
      <c r="F317" t="s">
        <v>647</v>
      </c>
      <c r="G317" t="s">
        <v>659</v>
      </c>
      <c r="H317" t="s">
        <v>685</v>
      </c>
      <c r="I317" t="s">
        <v>701</v>
      </c>
      <c r="J317" t="s">
        <v>711</v>
      </c>
      <c r="K317" t="s">
        <v>723</v>
      </c>
      <c r="L317" t="s">
        <v>727</v>
      </c>
      <c r="M317">
        <f t="shared" si="33"/>
        <v>0.12909166421264678</v>
      </c>
      <c r="N317" t="s">
        <v>820</v>
      </c>
      <c r="O317" s="7">
        <v>1366.48</v>
      </c>
      <c r="P317" s="7">
        <v>1678.14</v>
      </c>
      <c r="Q317" s="12">
        <v>0.154</v>
      </c>
      <c r="R317">
        <v>10</v>
      </c>
      <c r="S317">
        <f t="shared" si="27"/>
        <v>14197.064400000001</v>
      </c>
      <c r="T317">
        <f t="shared" si="28"/>
        <v>13664.8</v>
      </c>
      <c r="U317">
        <f t="shared" si="29"/>
        <v>532.26440000000184</v>
      </c>
      <c r="V317">
        <f t="shared" si="30"/>
        <v>3.7491159087790132E-2</v>
      </c>
    </row>
    <row r="318" spans="1:22" x14ac:dyDescent="0.25">
      <c r="A318" t="s">
        <v>618</v>
      </c>
      <c r="B318" s="14">
        <v>45793</v>
      </c>
      <c r="C318" s="14">
        <v>45795</v>
      </c>
      <c r="D318" s="7">
        <f t="shared" si="31"/>
        <v>2</v>
      </c>
      <c r="E318" s="5" t="str">
        <f t="shared" si="32"/>
        <v>Q2</v>
      </c>
      <c r="F318" t="s">
        <v>647</v>
      </c>
      <c r="G318" t="s">
        <v>652</v>
      </c>
      <c r="H318" t="s">
        <v>689</v>
      </c>
      <c r="I318" t="s">
        <v>706</v>
      </c>
      <c r="J318" t="s">
        <v>711</v>
      </c>
      <c r="K318" t="s">
        <v>713</v>
      </c>
      <c r="L318" t="s">
        <v>728</v>
      </c>
      <c r="M318">
        <f t="shared" si="33"/>
        <v>0.36198902460225019</v>
      </c>
      <c r="N318" t="s">
        <v>1335</v>
      </c>
      <c r="O318" s="7">
        <v>1144.3800000000001</v>
      </c>
      <c r="P318" s="7">
        <v>2755.04</v>
      </c>
      <c r="Q318" s="12">
        <v>0.15</v>
      </c>
      <c r="R318">
        <v>17</v>
      </c>
      <c r="S318">
        <f t="shared" si="27"/>
        <v>39810.328000000001</v>
      </c>
      <c r="T318">
        <f t="shared" si="28"/>
        <v>19454.460000000003</v>
      </c>
      <c r="U318">
        <f t="shared" si="29"/>
        <v>20355.867999999999</v>
      </c>
      <c r="V318">
        <f t="shared" si="30"/>
        <v>0.51132128326096682</v>
      </c>
    </row>
    <row r="319" spans="1:22" x14ac:dyDescent="0.25">
      <c r="A319" t="s">
        <v>403</v>
      </c>
      <c r="B319" s="14">
        <v>45199</v>
      </c>
      <c r="C319" s="14">
        <v>45202</v>
      </c>
      <c r="D319" s="7">
        <f t="shared" si="31"/>
        <v>3</v>
      </c>
      <c r="E319" s="5" t="str">
        <f t="shared" si="32"/>
        <v>Q3</v>
      </c>
      <c r="F319" t="s">
        <v>647</v>
      </c>
      <c r="G319" t="s">
        <v>659</v>
      </c>
      <c r="H319" t="s">
        <v>699</v>
      </c>
      <c r="I319" t="s">
        <v>703</v>
      </c>
      <c r="J319" t="s">
        <v>707</v>
      </c>
      <c r="K319" t="s">
        <v>713</v>
      </c>
      <c r="L319" t="s">
        <v>731</v>
      </c>
      <c r="M319">
        <f t="shared" si="33"/>
        <v>0.12828334246996576</v>
      </c>
      <c r="N319" t="s">
        <v>1121</v>
      </c>
      <c r="O319" s="7">
        <v>1019.36</v>
      </c>
      <c r="P319" s="7">
        <v>972.91</v>
      </c>
      <c r="Q319" s="12">
        <v>0.14699999999999999</v>
      </c>
      <c r="R319">
        <v>17</v>
      </c>
      <c r="S319">
        <f t="shared" si="27"/>
        <v>14108.16791</v>
      </c>
      <c r="T319">
        <f t="shared" si="28"/>
        <v>17329.12</v>
      </c>
      <c r="U319">
        <f t="shared" si="29"/>
        <v>-3220.9520899999989</v>
      </c>
      <c r="V319">
        <f t="shared" si="30"/>
        <v>-0.22830406545678819</v>
      </c>
    </row>
    <row r="320" spans="1:22" x14ac:dyDescent="0.25">
      <c r="A320" t="s">
        <v>645</v>
      </c>
      <c r="B320" s="14">
        <v>45249</v>
      </c>
      <c r="C320" s="14">
        <v>45279</v>
      </c>
      <c r="D320" s="7">
        <f t="shared" si="31"/>
        <v>30</v>
      </c>
      <c r="E320" s="5" t="str">
        <f t="shared" si="32"/>
        <v>Q4</v>
      </c>
      <c r="F320" t="s">
        <v>647</v>
      </c>
      <c r="G320" t="s">
        <v>652</v>
      </c>
      <c r="H320" t="s">
        <v>694</v>
      </c>
      <c r="I320" t="s">
        <v>704</v>
      </c>
      <c r="J320" t="s">
        <v>710</v>
      </c>
      <c r="K320" t="s">
        <v>1430</v>
      </c>
      <c r="L320" t="s">
        <v>730</v>
      </c>
      <c r="M320">
        <f t="shared" si="33"/>
        <v>0.11611002529421989</v>
      </c>
      <c r="N320" t="s">
        <v>1362</v>
      </c>
      <c r="O320" s="7">
        <v>807.11</v>
      </c>
      <c r="P320" s="7">
        <v>1853.86</v>
      </c>
      <c r="Q320" s="12">
        <v>0.13900000000000001</v>
      </c>
      <c r="R320">
        <v>8</v>
      </c>
      <c r="S320">
        <f t="shared" si="27"/>
        <v>12769.38768</v>
      </c>
      <c r="T320">
        <f t="shared" si="28"/>
        <v>6456.88</v>
      </c>
      <c r="U320">
        <f t="shared" si="29"/>
        <v>6312.5076799999997</v>
      </c>
      <c r="V320">
        <f t="shared" si="30"/>
        <v>0.49434693645388639</v>
      </c>
    </row>
    <row r="321" spans="1:22" x14ac:dyDescent="0.25">
      <c r="A321" t="s">
        <v>557</v>
      </c>
      <c r="B321" s="14">
        <v>45450</v>
      </c>
      <c r="C321" s="14">
        <v>45452</v>
      </c>
      <c r="D321" s="7">
        <f t="shared" si="31"/>
        <v>2</v>
      </c>
      <c r="E321" s="5" t="str">
        <f t="shared" si="32"/>
        <v>Q2</v>
      </c>
      <c r="F321" t="s">
        <v>647</v>
      </c>
      <c r="G321" t="s">
        <v>659</v>
      </c>
      <c r="H321" t="s">
        <v>685</v>
      </c>
      <c r="I321" t="s">
        <v>701</v>
      </c>
      <c r="J321" t="s">
        <v>710</v>
      </c>
      <c r="K321" t="s">
        <v>719</v>
      </c>
      <c r="L321" t="s">
        <v>732</v>
      </c>
      <c r="M321">
        <f t="shared" si="33"/>
        <v>0.27871746376767803</v>
      </c>
      <c r="N321" t="s">
        <v>1274</v>
      </c>
      <c r="O321" s="7">
        <v>1370.28</v>
      </c>
      <c r="P321" s="7">
        <v>2209.66</v>
      </c>
      <c r="Q321" s="12">
        <v>0.13300000000000001</v>
      </c>
      <c r="R321">
        <v>16</v>
      </c>
      <c r="S321">
        <f t="shared" si="27"/>
        <v>30652.403519999996</v>
      </c>
      <c r="T321">
        <f t="shared" si="28"/>
        <v>21924.48</v>
      </c>
      <c r="U321">
        <f t="shared" si="29"/>
        <v>8727.9235199999966</v>
      </c>
      <c r="V321">
        <f t="shared" si="30"/>
        <v>0.28473863442079589</v>
      </c>
    </row>
    <row r="322" spans="1:22" x14ac:dyDescent="0.25">
      <c r="A322" t="s">
        <v>621</v>
      </c>
      <c r="B322" s="14">
        <v>45038</v>
      </c>
      <c r="C322" s="14">
        <v>45060</v>
      </c>
      <c r="D322" s="7">
        <f t="shared" si="31"/>
        <v>22</v>
      </c>
      <c r="E322" s="5" t="str">
        <f t="shared" si="32"/>
        <v>Q2</v>
      </c>
      <c r="F322" t="s">
        <v>647</v>
      </c>
      <c r="G322" t="s">
        <v>652</v>
      </c>
      <c r="H322" t="s">
        <v>694</v>
      </c>
      <c r="I322" t="s">
        <v>706</v>
      </c>
      <c r="J322" t="s">
        <v>707</v>
      </c>
      <c r="K322" t="s">
        <v>720</v>
      </c>
      <c r="L322" t="s">
        <v>733</v>
      </c>
      <c r="M322">
        <f t="shared" si="33"/>
        <v>0.12599518514282182</v>
      </c>
      <c r="N322" t="s">
        <v>1338</v>
      </c>
      <c r="O322" s="7">
        <v>1209.22</v>
      </c>
      <c r="P322" s="7">
        <v>1404.33</v>
      </c>
      <c r="Q322" s="12">
        <v>0.10299999999999999</v>
      </c>
      <c r="R322">
        <v>11</v>
      </c>
      <c r="S322">
        <f t="shared" ref="S322:S385" si="34">P322*R322*(1-Q322)</f>
        <v>13856.52411</v>
      </c>
      <c r="T322">
        <f t="shared" ref="T322:T385" si="35">O322*R322</f>
        <v>13301.42</v>
      </c>
      <c r="U322">
        <f t="shared" ref="U322:U385" si="36">S322-T322</f>
        <v>555.10411000000022</v>
      </c>
      <c r="V322">
        <f t="shared" ref="V322:V385" si="37">IF(S322=0,0,U322/S322)</f>
        <v>4.0060848275751328E-2</v>
      </c>
    </row>
    <row r="323" spans="1:22" x14ac:dyDescent="0.25">
      <c r="A323" t="s">
        <v>19</v>
      </c>
      <c r="B323" s="14">
        <v>45266</v>
      </c>
      <c r="C323" s="14">
        <v>45291</v>
      </c>
      <c r="D323" s="7">
        <f t="shared" ref="D323:D386" si="38">C323-B323</f>
        <v>25</v>
      </c>
      <c r="E323" s="5" t="str">
        <f t="shared" ref="E323:E386" si="39">IF(AND(MONTH(B323)&gt;=1,MONTH(B323)&lt;=3),"Q1", IF(AND(MONTH(B323)&gt;=4,MONTH(B323)&lt;=6), "Q2", IF(AND(MONTH(B323)&gt;=7,MONTH(B323)&lt;=9),"Q3", IF(AND(MONTH(B323)&gt;=10,MONTH(B323)&lt;=12),"Q4"))))</f>
        <v>Q4</v>
      </c>
      <c r="F323" t="s">
        <v>647</v>
      </c>
      <c r="G323" t="s">
        <v>652</v>
      </c>
      <c r="H323" t="s">
        <v>666</v>
      </c>
      <c r="I323" t="s">
        <v>704</v>
      </c>
      <c r="J323" t="s">
        <v>708</v>
      </c>
      <c r="K323" t="s">
        <v>716</v>
      </c>
      <c r="L323" t="s">
        <v>728</v>
      </c>
      <c r="M323">
        <f t="shared" ref="M323:M386" si="40">(S323/$S$634)*100</f>
        <v>9.9639178637620326E-2</v>
      </c>
      <c r="N323" t="s">
        <v>738</v>
      </c>
      <c r="O323" s="7">
        <v>663.03</v>
      </c>
      <c r="P323" s="7">
        <v>813.51</v>
      </c>
      <c r="Q323" s="12">
        <v>0.10199999999999999</v>
      </c>
      <c r="R323">
        <v>15</v>
      </c>
      <c r="S323">
        <f t="shared" si="34"/>
        <v>10957.9797</v>
      </c>
      <c r="T323">
        <f t="shared" si="35"/>
        <v>9945.4499999999989</v>
      </c>
      <c r="U323">
        <f t="shared" si="36"/>
        <v>1012.529700000001</v>
      </c>
      <c r="V323">
        <f t="shared" si="37"/>
        <v>9.2401129379715952E-2</v>
      </c>
    </row>
    <row r="324" spans="1:22" x14ac:dyDescent="0.25">
      <c r="A324" t="s">
        <v>536</v>
      </c>
      <c r="B324" s="14">
        <v>45056</v>
      </c>
      <c r="C324" s="14">
        <v>45073</v>
      </c>
      <c r="D324" s="7">
        <f t="shared" si="38"/>
        <v>17</v>
      </c>
      <c r="E324" s="5" t="str">
        <f t="shared" si="39"/>
        <v>Q2</v>
      </c>
      <c r="F324" t="s">
        <v>647</v>
      </c>
      <c r="G324" t="s">
        <v>654</v>
      </c>
      <c r="H324" t="s">
        <v>691</v>
      </c>
      <c r="I324" t="s">
        <v>704</v>
      </c>
      <c r="J324" t="s">
        <v>709</v>
      </c>
      <c r="K324" t="s">
        <v>724</v>
      </c>
      <c r="L324" t="s">
        <v>731</v>
      </c>
      <c r="M324">
        <f t="shared" si="40"/>
        <v>0.5836966008053156</v>
      </c>
      <c r="N324" t="s">
        <v>1254</v>
      </c>
      <c r="O324" s="7">
        <v>1286.1600000000001</v>
      </c>
      <c r="P324" s="7">
        <v>3101.11</v>
      </c>
      <c r="Q324" s="12">
        <v>0.1</v>
      </c>
      <c r="R324">
        <v>23</v>
      </c>
      <c r="S324">
        <f t="shared" si="34"/>
        <v>64192.976999999999</v>
      </c>
      <c r="T324">
        <f t="shared" si="35"/>
        <v>29581.68</v>
      </c>
      <c r="U324">
        <f t="shared" si="36"/>
        <v>34611.296999999999</v>
      </c>
      <c r="V324">
        <f t="shared" si="37"/>
        <v>0.53917575749758417</v>
      </c>
    </row>
    <row r="325" spans="1:22" x14ac:dyDescent="0.25">
      <c r="A325" t="s">
        <v>410</v>
      </c>
      <c r="B325" s="14">
        <v>45804</v>
      </c>
      <c r="C325" s="14">
        <v>45816</v>
      </c>
      <c r="D325" s="7">
        <f t="shared" si="38"/>
        <v>12</v>
      </c>
      <c r="E325" s="5" t="str">
        <f t="shared" si="39"/>
        <v>Q2</v>
      </c>
      <c r="F325" t="s">
        <v>647</v>
      </c>
      <c r="G325" t="s">
        <v>652</v>
      </c>
      <c r="H325" t="s">
        <v>666</v>
      </c>
      <c r="I325" t="s">
        <v>701</v>
      </c>
      <c r="J325" t="s">
        <v>710</v>
      </c>
      <c r="K325" t="s">
        <v>722</v>
      </c>
      <c r="L325" t="s">
        <v>733</v>
      </c>
      <c r="M325">
        <f t="shared" si="40"/>
        <v>0.131225518010568</v>
      </c>
      <c r="N325" t="s">
        <v>1128</v>
      </c>
      <c r="O325" s="7">
        <v>653.6</v>
      </c>
      <c r="P325" s="7">
        <v>842.09</v>
      </c>
      <c r="Q325" s="12">
        <v>9.8000000000000004E-2</v>
      </c>
      <c r="R325">
        <v>19</v>
      </c>
      <c r="S325">
        <f t="shared" si="34"/>
        <v>14431.738420000001</v>
      </c>
      <c r="T325">
        <f t="shared" si="35"/>
        <v>12418.4</v>
      </c>
      <c r="U325">
        <f t="shared" si="36"/>
        <v>2013.3384200000019</v>
      </c>
      <c r="V325">
        <f t="shared" si="37"/>
        <v>0.13950768517324622</v>
      </c>
    </row>
    <row r="326" spans="1:22" x14ac:dyDescent="0.25">
      <c r="A326" t="s">
        <v>432</v>
      </c>
      <c r="B326" s="14">
        <v>45813</v>
      </c>
      <c r="C326" s="14">
        <v>45822</v>
      </c>
      <c r="D326" s="7">
        <f t="shared" si="38"/>
        <v>9</v>
      </c>
      <c r="E326" s="5" t="str">
        <f t="shared" si="39"/>
        <v>Q2</v>
      </c>
      <c r="F326" t="s">
        <v>647</v>
      </c>
      <c r="G326" t="s">
        <v>654</v>
      </c>
      <c r="H326" t="s">
        <v>680</v>
      </c>
      <c r="I326" t="s">
        <v>703</v>
      </c>
      <c r="J326" t="s">
        <v>711</v>
      </c>
      <c r="K326" t="s">
        <v>720</v>
      </c>
      <c r="L326" t="s">
        <v>733</v>
      </c>
      <c r="M326">
        <f t="shared" si="40"/>
        <v>7.2465054670993567E-2</v>
      </c>
      <c r="N326" t="s">
        <v>1150</v>
      </c>
      <c r="O326" s="7">
        <v>618.69000000000005</v>
      </c>
      <c r="P326" s="7">
        <v>796.15</v>
      </c>
      <c r="Q326" s="12">
        <v>0.09</v>
      </c>
      <c r="R326">
        <v>11</v>
      </c>
      <c r="S326">
        <f t="shared" si="34"/>
        <v>7969.4615000000003</v>
      </c>
      <c r="T326">
        <f t="shared" si="35"/>
        <v>6805.59</v>
      </c>
      <c r="U326">
        <f t="shared" si="36"/>
        <v>1163.8715000000002</v>
      </c>
      <c r="V326">
        <f t="shared" si="37"/>
        <v>0.14604142325049191</v>
      </c>
    </row>
    <row r="327" spans="1:22" x14ac:dyDescent="0.25">
      <c r="A327" t="s">
        <v>140</v>
      </c>
      <c r="B327" s="14">
        <v>45150</v>
      </c>
      <c r="C327" s="14">
        <v>45175</v>
      </c>
      <c r="D327" s="7">
        <f t="shared" si="38"/>
        <v>25</v>
      </c>
      <c r="E327" s="5" t="str">
        <f t="shared" si="39"/>
        <v>Q3</v>
      </c>
      <c r="F327" t="s">
        <v>647</v>
      </c>
      <c r="G327" t="s">
        <v>659</v>
      </c>
      <c r="H327" t="s">
        <v>685</v>
      </c>
      <c r="I327" t="s">
        <v>705</v>
      </c>
      <c r="J327" t="s">
        <v>711</v>
      </c>
      <c r="K327" t="s">
        <v>717</v>
      </c>
      <c r="L327" t="s">
        <v>727</v>
      </c>
      <c r="M327">
        <f t="shared" si="40"/>
        <v>8.1015938060009285E-2</v>
      </c>
      <c r="N327" t="s">
        <v>859</v>
      </c>
      <c r="O327" s="7">
        <v>950.77</v>
      </c>
      <c r="P327" s="7">
        <v>694.78</v>
      </c>
      <c r="Q327" s="12">
        <v>8.4000000000000005E-2</v>
      </c>
      <c r="R327">
        <v>14</v>
      </c>
      <c r="S327">
        <f t="shared" si="34"/>
        <v>8909.8587200000002</v>
      </c>
      <c r="T327">
        <f t="shared" si="35"/>
        <v>13310.779999999999</v>
      </c>
      <c r="U327">
        <f t="shared" si="36"/>
        <v>-4400.9212799999987</v>
      </c>
      <c r="V327">
        <f t="shared" si="37"/>
        <v>-0.49393839097821279</v>
      </c>
    </row>
    <row r="328" spans="1:22" x14ac:dyDescent="0.25">
      <c r="A328" t="s">
        <v>586</v>
      </c>
      <c r="B328" s="14">
        <v>45078</v>
      </c>
      <c r="C328" s="14">
        <v>45078</v>
      </c>
      <c r="D328" s="7">
        <f t="shared" si="38"/>
        <v>0</v>
      </c>
      <c r="E328" s="5" t="str">
        <f t="shared" si="39"/>
        <v>Q2</v>
      </c>
      <c r="F328" t="s">
        <v>647</v>
      </c>
      <c r="G328" t="s">
        <v>654</v>
      </c>
      <c r="H328" t="s">
        <v>668</v>
      </c>
      <c r="I328" t="s">
        <v>701</v>
      </c>
      <c r="J328" t="s">
        <v>711</v>
      </c>
      <c r="K328" t="s">
        <v>718</v>
      </c>
      <c r="L328" t="s">
        <v>733</v>
      </c>
      <c r="M328">
        <f t="shared" si="40"/>
        <v>4.1619283819518897E-2</v>
      </c>
      <c r="N328" t="s">
        <v>1303</v>
      </c>
      <c r="O328" s="7">
        <v>669.37</v>
      </c>
      <c r="P328" s="7">
        <v>997.2</v>
      </c>
      <c r="Q328" s="12">
        <v>8.2000000000000003E-2</v>
      </c>
      <c r="R328">
        <v>5</v>
      </c>
      <c r="S328">
        <f t="shared" si="34"/>
        <v>4577.1480000000001</v>
      </c>
      <c r="T328">
        <f t="shared" si="35"/>
        <v>3346.85</v>
      </c>
      <c r="U328">
        <f t="shared" si="36"/>
        <v>1230.2980000000002</v>
      </c>
      <c r="V328">
        <f t="shared" si="37"/>
        <v>0.26879139586484863</v>
      </c>
    </row>
    <row r="329" spans="1:22" x14ac:dyDescent="0.25">
      <c r="A329" t="s">
        <v>421</v>
      </c>
      <c r="B329" s="14">
        <v>45646</v>
      </c>
      <c r="C329" s="14">
        <v>45671</v>
      </c>
      <c r="D329" s="7">
        <f t="shared" si="38"/>
        <v>25</v>
      </c>
      <c r="E329" s="5" t="str">
        <f t="shared" si="39"/>
        <v>Q4</v>
      </c>
      <c r="F329" t="s">
        <v>647</v>
      </c>
      <c r="G329" t="s">
        <v>654</v>
      </c>
      <c r="H329" t="s">
        <v>680</v>
      </c>
      <c r="I329" t="s">
        <v>705</v>
      </c>
      <c r="J329" t="s">
        <v>711</v>
      </c>
      <c r="K329" t="s">
        <v>724</v>
      </c>
      <c r="L329" t="s">
        <v>728</v>
      </c>
      <c r="M329">
        <f t="shared" si="40"/>
        <v>0.20419926154626183</v>
      </c>
      <c r="N329" t="s">
        <v>1139</v>
      </c>
      <c r="O329" s="7">
        <v>1361.34</v>
      </c>
      <c r="P329" s="7">
        <v>1737.9</v>
      </c>
      <c r="Q329" s="12">
        <v>7.6999999999999999E-2</v>
      </c>
      <c r="R329">
        <v>14</v>
      </c>
      <c r="S329">
        <f t="shared" si="34"/>
        <v>22457.143800000002</v>
      </c>
      <c r="T329">
        <f t="shared" si="35"/>
        <v>19058.759999999998</v>
      </c>
      <c r="U329">
        <f t="shared" si="36"/>
        <v>3398.3838000000032</v>
      </c>
      <c r="V329">
        <f t="shared" si="37"/>
        <v>0.15132751654731813</v>
      </c>
    </row>
    <row r="330" spans="1:22" x14ac:dyDescent="0.25">
      <c r="A330" t="s">
        <v>133</v>
      </c>
      <c r="B330" s="14">
        <v>45086</v>
      </c>
      <c r="C330" s="14">
        <v>45096</v>
      </c>
      <c r="D330" s="7">
        <f t="shared" si="38"/>
        <v>10</v>
      </c>
      <c r="E330" s="5" t="str">
        <f t="shared" si="39"/>
        <v>Q2</v>
      </c>
      <c r="F330" t="s">
        <v>647</v>
      </c>
      <c r="G330" t="s">
        <v>659</v>
      </c>
      <c r="H330" t="s">
        <v>699</v>
      </c>
      <c r="I330" t="s">
        <v>706</v>
      </c>
      <c r="J330" t="s">
        <v>707</v>
      </c>
      <c r="K330" t="s">
        <v>721</v>
      </c>
      <c r="L330" t="s">
        <v>732</v>
      </c>
      <c r="M330">
        <f t="shared" si="40"/>
        <v>5.245911361251198E-2</v>
      </c>
      <c r="N330" t="s">
        <v>852</v>
      </c>
      <c r="O330" s="7">
        <v>339.61</v>
      </c>
      <c r="P330" s="7">
        <v>621.02</v>
      </c>
      <c r="Q330" s="12">
        <v>7.0999999999999994E-2</v>
      </c>
      <c r="R330">
        <v>10</v>
      </c>
      <c r="S330">
        <f t="shared" si="34"/>
        <v>5769.2758000000003</v>
      </c>
      <c r="T330">
        <f t="shared" si="35"/>
        <v>3396.1000000000004</v>
      </c>
      <c r="U330">
        <f t="shared" si="36"/>
        <v>2373.1758</v>
      </c>
      <c r="V330">
        <f t="shared" si="37"/>
        <v>0.41134726129750981</v>
      </c>
    </row>
    <row r="331" spans="1:22" x14ac:dyDescent="0.25">
      <c r="A331" t="s">
        <v>467</v>
      </c>
      <c r="B331" s="14">
        <v>45413</v>
      </c>
      <c r="C331" s="14">
        <v>45428</v>
      </c>
      <c r="D331" s="7">
        <f t="shared" si="38"/>
        <v>15</v>
      </c>
      <c r="E331" s="5" t="str">
        <f t="shared" si="39"/>
        <v>Q2</v>
      </c>
      <c r="F331" t="s">
        <v>647</v>
      </c>
      <c r="G331" t="s">
        <v>654</v>
      </c>
      <c r="H331" t="s">
        <v>668</v>
      </c>
      <c r="I331" t="s">
        <v>705</v>
      </c>
      <c r="J331" t="s">
        <v>709</v>
      </c>
      <c r="K331" t="s">
        <v>716</v>
      </c>
      <c r="L331" t="s">
        <v>727</v>
      </c>
      <c r="M331">
        <f t="shared" si="40"/>
        <v>0.21544948330793362</v>
      </c>
      <c r="N331" t="s">
        <v>1185</v>
      </c>
      <c r="O331" s="7">
        <v>901.19</v>
      </c>
      <c r="P331" s="7">
        <v>2125.44</v>
      </c>
      <c r="Q331" s="12">
        <v>7.0999999999999994E-2</v>
      </c>
      <c r="R331">
        <v>12</v>
      </c>
      <c r="S331">
        <f t="shared" si="34"/>
        <v>23694.405119999999</v>
      </c>
      <c r="T331">
        <f t="shared" si="35"/>
        <v>10814.28</v>
      </c>
      <c r="U331">
        <f t="shared" si="36"/>
        <v>12880.125119999999</v>
      </c>
      <c r="V331">
        <f t="shared" si="37"/>
        <v>0.54359352154100415</v>
      </c>
    </row>
    <row r="332" spans="1:22" x14ac:dyDescent="0.25">
      <c r="A332" t="s">
        <v>84</v>
      </c>
      <c r="B332" s="14">
        <v>45037</v>
      </c>
      <c r="C332" s="14">
        <v>45056</v>
      </c>
      <c r="D332" s="7">
        <f t="shared" si="38"/>
        <v>19</v>
      </c>
      <c r="E332" s="5" t="str">
        <f t="shared" si="39"/>
        <v>Q2</v>
      </c>
      <c r="F332" t="s">
        <v>647</v>
      </c>
      <c r="G332" t="s">
        <v>659</v>
      </c>
      <c r="H332" t="s">
        <v>685</v>
      </c>
      <c r="I332" t="s">
        <v>701</v>
      </c>
      <c r="J332" t="s">
        <v>711</v>
      </c>
      <c r="K332" t="s">
        <v>720</v>
      </c>
      <c r="L332" t="s">
        <v>727</v>
      </c>
      <c r="M332">
        <f t="shared" si="40"/>
        <v>8.1205558187767826E-2</v>
      </c>
      <c r="N332" t="s">
        <v>803</v>
      </c>
      <c r="O332" s="7">
        <v>882.33</v>
      </c>
      <c r="P332" s="7">
        <v>1880.15</v>
      </c>
      <c r="Q332" s="12">
        <v>0.05</v>
      </c>
      <c r="R332">
        <v>5</v>
      </c>
      <c r="S332">
        <f t="shared" si="34"/>
        <v>8930.7124999999996</v>
      </c>
      <c r="T332">
        <f t="shared" si="35"/>
        <v>4411.6500000000005</v>
      </c>
      <c r="U332">
        <f t="shared" si="36"/>
        <v>4519.0624999999991</v>
      </c>
      <c r="V332">
        <f t="shared" si="37"/>
        <v>0.50601365792482955</v>
      </c>
    </row>
    <row r="333" spans="1:22" x14ac:dyDescent="0.25">
      <c r="A333" t="s">
        <v>515</v>
      </c>
      <c r="B333" s="14">
        <v>45048</v>
      </c>
      <c r="C333" s="14">
        <v>45062</v>
      </c>
      <c r="D333" s="7">
        <f t="shared" si="38"/>
        <v>14</v>
      </c>
      <c r="E333" s="5" t="str">
        <f t="shared" si="39"/>
        <v>Q2</v>
      </c>
      <c r="F333" t="s">
        <v>647</v>
      </c>
      <c r="G333" t="s">
        <v>654</v>
      </c>
      <c r="H333" t="s">
        <v>668</v>
      </c>
      <c r="I333" t="s">
        <v>703</v>
      </c>
      <c r="J333" t="s">
        <v>710</v>
      </c>
      <c r="K333" t="s">
        <v>716</v>
      </c>
      <c r="L333" t="s">
        <v>732</v>
      </c>
      <c r="M333">
        <f t="shared" si="40"/>
        <v>0.18488271649460136</v>
      </c>
      <c r="N333" t="s">
        <v>1233</v>
      </c>
      <c r="O333" s="7">
        <v>475.37</v>
      </c>
      <c r="P333" s="7">
        <v>963.73</v>
      </c>
      <c r="Q333" s="12">
        <v>4.1000000000000002E-2</v>
      </c>
      <c r="R333">
        <v>22</v>
      </c>
      <c r="S333">
        <f t="shared" si="34"/>
        <v>20332.775539999999</v>
      </c>
      <c r="T333">
        <f t="shared" si="35"/>
        <v>10458.14</v>
      </c>
      <c r="U333">
        <f t="shared" si="36"/>
        <v>9874.6355399999993</v>
      </c>
      <c r="V333">
        <f t="shared" si="37"/>
        <v>0.48565113604750881</v>
      </c>
    </row>
    <row r="334" spans="1:22" x14ac:dyDescent="0.25">
      <c r="A334" t="s">
        <v>179</v>
      </c>
      <c r="B334" s="14">
        <v>45447</v>
      </c>
      <c r="C334" s="14">
        <v>45459</v>
      </c>
      <c r="D334" s="7">
        <f t="shared" si="38"/>
        <v>12</v>
      </c>
      <c r="E334" s="5" t="str">
        <f t="shared" si="39"/>
        <v>Q2</v>
      </c>
      <c r="F334" t="s">
        <v>647</v>
      </c>
      <c r="G334" t="s">
        <v>659</v>
      </c>
      <c r="H334" t="s">
        <v>685</v>
      </c>
      <c r="I334" t="s">
        <v>701</v>
      </c>
      <c r="J334" t="s">
        <v>711</v>
      </c>
      <c r="K334" t="s">
        <v>713</v>
      </c>
      <c r="L334" t="s">
        <v>728</v>
      </c>
      <c r="M334">
        <f t="shared" si="40"/>
        <v>0.1077666036439264</v>
      </c>
      <c r="N334" t="s">
        <v>898</v>
      </c>
      <c r="O334" s="7">
        <v>918.42</v>
      </c>
      <c r="P334" s="7">
        <v>1511.71</v>
      </c>
      <c r="Q334" s="12">
        <v>0.02</v>
      </c>
      <c r="R334">
        <v>8</v>
      </c>
      <c r="S334">
        <f t="shared" si="34"/>
        <v>11851.806399999999</v>
      </c>
      <c r="T334">
        <f t="shared" si="35"/>
        <v>7347.36</v>
      </c>
      <c r="U334">
        <f t="shared" si="36"/>
        <v>4504.4463999999998</v>
      </c>
      <c r="V334">
        <f t="shared" si="37"/>
        <v>0.38006412254590999</v>
      </c>
    </row>
    <row r="335" spans="1:22" x14ac:dyDescent="0.25">
      <c r="A335" t="s">
        <v>129</v>
      </c>
      <c r="B335" s="14">
        <v>45250</v>
      </c>
      <c r="C335" s="14">
        <v>45265</v>
      </c>
      <c r="D335" s="7">
        <f t="shared" si="38"/>
        <v>15</v>
      </c>
      <c r="E335" s="5" t="str">
        <f t="shared" si="39"/>
        <v>Q4</v>
      </c>
      <c r="F335" t="s">
        <v>647</v>
      </c>
      <c r="G335" t="s">
        <v>652</v>
      </c>
      <c r="H335" t="s">
        <v>689</v>
      </c>
      <c r="I335" t="s">
        <v>706</v>
      </c>
      <c r="J335" t="s">
        <v>708</v>
      </c>
      <c r="K335" t="s">
        <v>716</v>
      </c>
      <c r="L335" t="s">
        <v>729</v>
      </c>
      <c r="M335">
        <f t="shared" si="40"/>
        <v>1.3632170663456617E-2</v>
      </c>
      <c r="N335" t="s">
        <v>848</v>
      </c>
      <c r="O335" s="7">
        <v>354.24</v>
      </c>
      <c r="P335" s="7">
        <v>249.87</v>
      </c>
      <c r="Q335" s="12">
        <v>0</v>
      </c>
      <c r="R335">
        <v>6</v>
      </c>
      <c r="S335">
        <f t="shared" si="34"/>
        <v>1499.22</v>
      </c>
      <c r="T335">
        <f t="shared" si="35"/>
        <v>2125.44</v>
      </c>
      <c r="U335">
        <f t="shared" si="36"/>
        <v>-626.22</v>
      </c>
      <c r="V335">
        <f t="shared" si="37"/>
        <v>-0.41769720254532355</v>
      </c>
    </row>
    <row r="336" spans="1:22" x14ac:dyDescent="0.25">
      <c r="A336" t="s">
        <v>424</v>
      </c>
      <c r="B336" s="14">
        <v>45276</v>
      </c>
      <c r="C336" s="14">
        <v>45279</v>
      </c>
      <c r="D336" s="7">
        <f t="shared" si="38"/>
        <v>3</v>
      </c>
      <c r="E336" s="5" t="str">
        <f t="shared" si="39"/>
        <v>Q4</v>
      </c>
      <c r="F336" t="s">
        <v>647</v>
      </c>
      <c r="G336" t="s">
        <v>659</v>
      </c>
      <c r="H336" t="s">
        <v>699</v>
      </c>
      <c r="I336" t="s">
        <v>702</v>
      </c>
      <c r="J336" t="s">
        <v>709</v>
      </c>
      <c r="K336" t="s">
        <v>720</v>
      </c>
      <c r="L336" t="s">
        <v>733</v>
      </c>
      <c r="M336">
        <f t="shared" si="40"/>
        <v>0.21521447771391974</v>
      </c>
      <c r="N336" t="s">
        <v>1142</v>
      </c>
      <c r="O336" s="7">
        <v>1415.05</v>
      </c>
      <c r="P336" s="7">
        <v>1972.38</v>
      </c>
      <c r="Q336" s="12">
        <v>0</v>
      </c>
      <c r="R336">
        <v>12</v>
      </c>
      <c r="S336">
        <f t="shared" si="34"/>
        <v>23668.560000000001</v>
      </c>
      <c r="T336">
        <f t="shared" si="35"/>
        <v>16980.599999999999</v>
      </c>
      <c r="U336">
        <f t="shared" si="36"/>
        <v>6687.9600000000028</v>
      </c>
      <c r="V336">
        <f t="shared" si="37"/>
        <v>0.28256725377462771</v>
      </c>
    </row>
    <row r="337" spans="1:22" x14ac:dyDescent="0.25">
      <c r="A337" t="s">
        <v>542</v>
      </c>
      <c r="B337" s="14">
        <v>44938</v>
      </c>
      <c r="C337" s="14">
        <v>44952</v>
      </c>
      <c r="D337" s="7">
        <f t="shared" si="38"/>
        <v>14</v>
      </c>
      <c r="E337" s="5" t="str">
        <f t="shared" si="39"/>
        <v>Q1</v>
      </c>
      <c r="F337" t="s">
        <v>647</v>
      </c>
      <c r="G337" t="s">
        <v>659</v>
      </c>
      <c r="H337" t="s">
        <v>676</v>
      </c>
      <c r="I337" t="s">
        <v>703</v>
      </c>
      <c r="J337" t="s">
        <v>709</v>
      </c>
      <c r="K337" t="s">
        <v>724</v>
      </c>
      <c r="L337" t="s">
        <v>728</v>
      </c>
      <c r="M337">
        <f t="shared" si="40"/>
        <v>0.10372168559065587</v>
      </c>
      <c r="N337" t="s">
        <v>1260</v>
      </c>
      <c r="O337" s="7">
        <v>1083.0899999999999</v>
      </c>
      <c r="P337" s="7">
        <v>1425.87</v>
      </c>
      <c r="Q337" s="12">
        <v>0</v>
      </c>
      <c r="R337">
        <v>8</v>
      </c>
      <c r="S337">
        <f t="shared" si="34"/>
        <v>11406.96</v>
      </c>
      <c r="T337">
        <f t="shared" si="35"/>
        <v>8664.7199999999993</v>
      </c>
      <c r="U337">
        <f t="shared" si="36"/>
        <v>2742.24</v>
      </c>
      <c r="V337">
        <f t="shared" si="37"/>
        <v>0.24040059752992909</v>
      </c>
    </row>
    <row r="338" spans="1:22" x14ac:dyDescent="0.25">
      <c r="A338" t="s">
        <v>123</v>
      </c>
      <c r="B338" s="14">
        <v>45581</v>
      </c>
      <c r="C338" s="14">
        <v>45604</v>
      </c>
      <c r="D338" s="7">
        <f t="shared" si="38"/>
        <v>23</v>
      </c>
      <c r="E338" s="5" t="str">
        <f t="shared" si="39"/>
        <v>Q4</v>
      </c>
      <c r="F338" t="s">
        <v>647</v>
      </c>
      <c r="G338" t="s">
        <v>652</v>
      </c>
      <c r="H338" t="s">
        <v>666</v>
      </c>
      <c r="I338" t="s">
        <v>705</v>
      </c>
      <c r="J338" t="s">
        <v>710</v>
      </c>
      <c r="K338" t="s">
        <v>713</v>
      </c>
      <c r="L338" t="s">
        <v>729</v>
      </c>
      <c r="M338">
        <f t="shared" si="40"/>
        <v>1.5097754945640644E-2</v>
      </c>
      <c r="N338" t="s">
        <v>842</v>
      </c>
      <c r="O338" s="7">
        <v>82.14</v>
      </c>
      <c r="P338" s="7">
        <v>166.04</v>
      </c>
      <c r="Q338" s="12">
        <v>0</v>
      </c>
      <c r="R338">
        <v>10</v>
      </c>
      <c r="S338">
        <f t="shared" si="34"/>
        <v>1660.3999999999999</v>
      </c>
      <c r="T338">
        <f t="shared" si="35"/>
        <v>821.4</v>
      </c>
      <c r="U338">
        <f t="shared" si="36"/>
        <v>838.99999999999989</v>
      </c>
      <c r="V338">
        <f t="shared" si="37"/>
        <v>0.50529992772825827</v>
      </c>
    </row>
    <row r="339" spans="1:22" x14ac:dyDescent="0.25">
      <c r="A339" t="s">
        <v>537</v>
      </c>
      <c r="B339" s="14">
        <v>45482</v>
      </c>
      <c r="C339" s="14">
        <v>45485</v>
      </c>
      <c r="D339" s="7">
        <f t="shared" si="38"/>
        <v>3</v>
      </c>
      <c r="E339" s="5" t="str">
        <f t="shared" si="39"/>
        <v>Q3</v>
      </c>
      <c r="F339" t="s">
        <v>647</v>
      </c>
      <c r="G339" t="s">
        <v>659</v>
      </c>
      <c r="H339" t="s">
        <v>685</v>
      </c>
      <c r="I339" t="s">
        <v>705</v>
      </c>
      <c r="J339" t="s">
        <v>708</v>
      </c>
      <c r="K339" t="s">
        <v>726</v>
      </c>
      <c r="L339" t="s">
        <v>733</v>
      </c>
      <c r="M339">
        <f t="shared" si="40"/>
        <v>0.20483136137302171</v>
      </c>
      <c r="N339" t="s">
        <v>1255</v>
      </c>
      <c r="O339" s="7">
        <v>748.39</v>
      </c>
      <c r="P339" s="7">
        <v>979.42</v>
      </c>
      <c r="Q339" s="12">
        <v>0</v>
      </c>
      <c r="R339">
        <v>23</v>
      </c>
      <c r="S339">
        <f t="shared" si="34"/>
        <v>22526.66</v>
      </c>
      <c r="T339">
        <f t="shared" si="35"/>
        <v>17212.97</v>
      </c>
      <c r="U339">
        <f t="shared" si="36"/>
        <v>5313.6899999999987</v>
      </c>
      <c r="V339">
        <f t="shared" si="37"/>
        <v>0.23588450307324738</v>
      </c>
    </row>
    <row r="340" spans="1:22" x14ac:dyDescent="0.25">
      <c r="A340" t="s">
        <v>529</v>
      </c>
      <c r="B340" s="14">
        <v>45661</v>
      </c>
      <c r="C340" s="14">
        <v>45662</v>
      </c>
      <c r="D340" s="7">
        <f t="shared" si="38"/>
        <v>1</v>
      </c>
      <c r="E340" s="5" t="str">
        <f t="shared" si="39"/>
        <v>Q1</v>
      </c>
      <c r="F340" t="s">
        <v>647</v>
      </c>
      <c r="G340" t="s">
        <v>654</v>
      </c>
      <c r="H340" t="s">
        <v>680</v>
      </c>
      <c r="I340" t="s">
        <v>702</v>
      </c>
      <c r="J340" t="s">
        <v>710</v>
      </c>
      <c r="K340" t="s">
        <v>714</v>
      </c>
      <c r="L340" t="s">
        <v>727</v>
      </c>
      <c r="M340">
        <f t="shared" si="40"/>
        <v>0.30286938418129289</v>
      </c>
      <c r="N340" t="s">
        <v>1247</v>
      </c>
      <c r="O340" s="7">
        <v>1428.33</v>
      </c>
      <c r="P340" s="7">
        <v>3028.05</v>
      </c>
      <c r="Q340" s="12">
        <v>0</v>
      </c>
      <c r="R340">
        <v>11</v>
      </c>
      <c r="S340">
        <f t="shared" si="34"/>
        <v>33308.550000000003</v>
      </c>
      <c r="T340">
        <f t="shared" si="35"/>
        <v>15711.63</v>
      </c>
      <c r="U340">
        <f t="shared" si="36"/>
        <v>17596.920000000006</v>
      </c>
      <c r="V340">
        <f t="shared" si="37"/>
        <v>0.52830039134096207</v>
      </c>
    </row>
    <row r="341" spans="1:22" x14ac:dyDescent="0.25">
      <c r="A341" t="s">
        <v>571</v>
      </c>
      <c r="B341" s="14">
        <v>45053</v>
      </c>
      <c r="C341" s="14">
        <v>45066</v>
      </c>
      <c r="D341" s="7">
        <f t="shared" si="38"/>
        <v>13</v>
      </c>
      <c r="E341" s="5" t="str">
        <f t="shared" si="39"/>
        <v>Q2</v>
      </c>
      <c r="F341" t="s">
        <v>647</v>
      </c>
      <c r="G341" t="s">
        <v>654</v>
      </c>
      <c r="H341" t="s">
        <v>691</v>
      </c>
      <c r="I341" t="s">
        <v>706</v>
      </c>
      <c r="J341" t="s">
        <v>707</v>
      </c>
      <c r="K341" t="s">
        <v>726</v>
      </c>
      <c r="L341" t="s">
        <v>733</v>
      </c>
      <c r="M341">
        <f t="shared" si="40"/>
        <v>0.42236487752426755</v>
      </c>
      <c r="N341" t="s">
        <v>1288</v>
      </c>
      <c r="O341" s="7">
        <v>1443.28</v>
      </c>
      <c r="P341" s="7">
        <v>2580.5700000000002</v>
      </c>
      <c r="Q341" s="12">
        <v>0</v>
      </c>
      <c r="R341">
        <v>18</v>
      </c>
      <c r="S341">
        <f t="shared" si="34"/>
        <v>46450.26</v>
      </c>
      <c r="T341">
        <f t="shared" si="35"/>
        <v>25979.040000000001</v>
      </c>
      <c r="U341">
        <f t="shared" si="36"/>
        <v>20471.22</v>
      </c>
      <c r="V341">
        <f t="shared" si="37"/>
        <v>0.4407127107577008</v>
      </c>
    </row>
    <row r="342" spans="1:22" x14ac:dyDescent="0.25">
      <c r="A342" t="s">
        <v>378</v>
      </c>
      <c r="B342" s="14">
        <v>45360</v>
      </c>
      <c r="C342" s="14">
        <v>45377</v>
      </c>
      <c r="D342" s="7">
        <f t="shared" si="38"/>
        <v>17</v>
      </c>
      <c r="E342" s="5" t="str">
        <f t="shared" si="39"/>
        <v>Q1</v>
      </c>
      <c r="F342" t="s">
        <v>647</v>
      </c>
      <c r="G342" t="s">
        <v>659</v>
      </c>
      <c r="H342" t="s">
        <v>676</v>
      </c>
      <c r="I342" t="s">
        <v>706</v>
      </c>
      <c r="J342" t="s">
        <v>711</v>
      </c>
      <c r="K342" t="s">
        <v>723</v>
      </c>
      <c r="L342" t="s">
        <v>732</v>
      </c>
      <c r="M342">
        <f t="shared" si="40"/>
        <v>6.6631922477935424E-2</v>
      </c>
      <c r="N342" t="s">
        <v>1097</v>
      </c>
      <c r="O342" s="7">
        <v>1029.67</v>
      </c>
      <c r="P342" s="7">
        <v>1118.43</v>
      </c>
      <c r="Q342" s="12">
        <v>0.27200000000000002</v>
      </c>
      <c r="R342">
        <v>9</v>
      </c>
      <c r="S342">
        <f t="shared" si="34"/>
        <v>7327.9533600000004</v>
      </c>
      <c r="T342">
        <f t="shared" si="35"/>
        <v>9267.0300000000007</v>
      </c>
      <c r="U342">
        <f t="shared" si="36"/>
        <v>-1939.0766400000002</v>
      </c>
      <c r="V342">
        <f t="shared" si="37"/>
        <v>-0.26461367106736061</v>
      </c>
    </row>
    <row r="343" spans="1:22" x14ac:dyDescent="0.25">
      <c r="A343" t="s">
        <v>425</v>
      </c>
      <c r="B343" s="14">
        <v>45534</v>
      </c>
      <c r="C343" s="14">
        <v>45540</v>
      </c>
      <c r="D343" s="7">
        <f t="shared" si="38"/>
        <v>6</v>
      </c>
      <c r="E343" s="5" t="str">
        <f t="shared" si="39"/>
        <v>Q3</v>
      </c>
      <c r="F343" t="s">
        <v>647</v>
      </c>
      <c r="G343" t="s">
        <v>652</v>
      </c>
      <c r="H343" t="s">
        <v>694</v>
      </c>
      <c r="I343" t="s">
        <v>702</v>
      </c>
      <c r="J343" t="s">
        <v>709</v>
      </c>
      <c r="K343" t="s">
        <v>725</v>
      </c>
      <c r="L343" t="s">
        <v>731</v>
      </c>
      <c r="M343">
        <f t="shared" si="40"/>
        <v>4.8410203074152558E-2</v>
      </c>
      <c r="N343" t="s">
        <v>1143</v>
      </c>
      <c r="O343" s="7">
        <v>466.16</v>
      </c>
      <c r="P343" s="7">
        <v>876.81</v>
      </c>
      <c r="Q343" s="12">
        <v>0.24099999999999999</v>
      </c>
      <c r="R343">
        <v>8</v>
      </c>
      <c r="S343">
        <f t="shared" si="34"/>
        <v>5323.9903199999999</v>
      </c>
      <c r="T343">
        <f t="shared" si="35"/>
        <v>3729.28</v>
      </c>
      <c r="U343">
        <f t="shared" si="36"/>
        <v>1594.7103199999997</v>
      </c>
      <c r="V343">
        <f t="shared" si="37"/>
        <v>0.29953291124691594</v>
      </c>
    </row>
    <row r="344" spans="1:22" x14ac:dyDescent="0.25">
      <c r="A344" t="s">
        <v>205</v>
      </c>
      <c r="B344" s="14">
        <v>45325</v>
      </c>
      <c r="C344" s="14">
        <v>45341</v>
      </c>
      <c r="D344" s="7">
        <f t="shared" si="38"/>
        <v>16</v>
      </c>
      <c r="E344" s="5" t="str">
        <f t="shared" si="39"/>
        <v>Q1</v>
      </c>
      <c r="F344" t="s">
        <v>647</v>
      </c>
      <c r="G344" t="s">
        <v>659</v>
      </c>
      <c r="H344" t="s">
        <v>676</v>
      </c>
      <c r="I344" t="s">
        <v>705</v>
      </c>
      <c r="J344" t="s">
        <v>708</v>
      </c>
      <c r="K344" t="s">
        <v>722</v>
      </c>
      <c r="L344" t="s">
        <v>731</v>
      </c>
      <c r="M344">
        <f t="shared" si="40"/>
        <v>0.17770118811310268</v>
      </c>
      <c r="N344" t="s">
        <v>924</v>
      </c>
      <c r="O344" s="7">
        <v>993.75</v>
      </c>
      <c r="P344" s="7">
        <v>1310.29</v>
      </c>
      <c r="Q344" s="12">
        <v>0.215</v>
      </c>
      <c r="R344">
        <v>19</v>
      </c>
      <c r="S344">
        <f t="shared" si="34"/>
        <v>19542.975350000001</v>
      </c>
      <c r="T344">
        <f t="shared" si="35"/>
        <v>18881.25</v>
      </c>
      <c r="U344">
        <f t="shared" si="36"/>
        <v>661.72535000000062</v>
      </c>
      <c r="V344">
        <f t="shared" si="37"/>
        <v>3.3860010471742245E-2</v>
      </c>
    </row>
    <row r="345" spans="1:22" x14ac:dyDescent="0.25">
      <c r="A345" t="s">
        <v>148</v>
      </c>
      <c r="B345" s="14">
        <v>45666</v>
      </c>
      <c r="C345" s="14">
        <v>45672</v>
      </c>
      <c r="D345" s="7">
        <f t="shared" si="38"/>
        <v>6</v>
      </c>
      <c r="E345" s="5" t="str">
        <f t="shared" si="39"/>
        <v>Q1</v>
      </c>
      <c r="F345" t="s">
        <v>647</v>
      </c>
      <c r="G345" t="s">
        <v>659</v>
      </c>
      <c r="H345" t="s">
        <v>699</v>
      </c>
      <c r="I345" t="s">
        <v>702</v>
      </c>
      <c r="J345" t="s">
        <v>710</v>
      </c>
      <c r="K345" t="s">
        <v>712</v>
      </c>
      <c r="L345" t="s">
        <v>730</v>
      </c>
      <c r="M345">
        <f t="shared" si="40"/>
        <v>3.177406437056543E-2</v>
      </c>
      <c r="N345" t="s">
        <v>867</v>
      </c>
      <c r="O345" s="7">
        <v>304.77999999999997</v>
      </c>
      <c r="P345" s="7">
        <v>537.27</v>
      </c>
      <c r="Q345" s="12">
        <v>0.187</v>
      </c>
      <c r="R345">
        <v>8</v>
      </c>
      <c r="S345">
        <f t="shared" si="34"/>
        <v>3494.4040799999998</v>
      </c>
      <c r="T345">
        <f t="shared" si="35"/>
        <v>2438.2399999999998</v>
      </c>
      <c r="U345">
        <f t="shared" si="36"/>
        <v>1056.16408</v>
      </c>
      <c r="V345">
        <f t="shared" si="37"/>
        <v>0.3022444044307549</v>
      </c>
    </row>
    <row r="346" spans="1:22" x14ac:dyDescent="0.25">
      <c r="A346" t="s">
        <v>271</v>
      </c>
      <c r="B346" s="14">
        <v>45204</v>
      </c>
      <c r="C346" s="14">
        <v>45205</v>
      </c>
      <c r="D346" s="7">
        <f t="shared" si="38"/>
        <v>1</v>
      </c>
      <c r="E346" s="5" t="str">
        <f t="shared" si="39"/>
        <v>Q4</v>
      </c>
      <c r="F346" t="s">
        <v>647</v>
      </c>
      <c r="G346" t="s">
        <v>654</v>
      </c>
      <c r="H346" t="s">
        <v>668</v>
      </c>
      <c r="I346" t="s">
        <v>703</v>
      </c>
      <c r="J346" t="s">
        <v>710</v>
      </c>
      <c r="K346" t="s">
        <v>714</v>
      </c>
      <c r="L346" t="s">
        <v>727</v>
      </c>
      <c r="M346">
        <f t="shared" si="40"/>
        <v>0.17342831887454016</v>
      </c>
      <c r="N346" t="s">
        <v>990</v>
      </c>
      <c r="O346" s="7">
        <v>1470.26</v>
      </c>
      <c r="P346" s="7">
        <v>2562.5500000000002</v>
      </c>
      <c r="Q346" s="12">
        <v>0.17299999999999999</v>
      </c>
      <c r="R346">
        <v>9</v>
      </c>
      <c r="S346">
        <f t="shared" si="34"/>
        <v>19073.059649999999</v>
      </c>
      <c r="T346">
        <f t="shared" si="35"/>
        <v>13232.34</v>
      </c>
      <c r="U346">
        <f t="shared" si="36"/>
        <v>5840.7196499999991</v>
      </c>
      <c r="V346">
        <f t="shared" si="37"/>
        <v>0.30622877279157462</v>
      </c>
    </row>
    <row r="347" spans="1:22" x14ac:dyDescent="0.25">
      <c r="A347" t="s">
        <v>119</v>
      </c>
      <c r="B347" s="14">
        <v>45549</v>
      </c>
      <c r="C347" s="14">
        <v>45570</v>
      </c>
      <c r="D347" s="7">
        <f t="shared" si="38"/>
        <v>21</v>
      </c>
      <c r="E347" s="5" t="str">
        <f t="shared" si="39"/>
        <v>Q3</v>
      </c>
      <c r="F347" t="s">
        <v>647</v>
      </c>
      <c r="G347" t="s">
        <v>659</v>
      </c>
      <c r="H347" t="s">
        <v>685</v>
      </c>
      <c r="I347" t="s">
        <v>705</v>
      </c>
      <c r="J347" t="s">
        <v>710</v>
      </c>
      <c r="K347" t="s">
        <v>722</v>
      </c>
      <c r="L347" t="s">
        <v>731</v>
      </c>
      <c r="M347">
        <f t="shared" si="40"/>
        <v>0.11216616117760989</v>
      </c>
      <c r="N347" t="s">
        <v>838</v>
      </c>
      <c r="O347" s="7">
        <v>1405.56</v>
      </c>
      <c r="P347" s="7">
        <v>2968.87</v>
      </c>
      <c r="Q347" s="12">
        <v>0.16900000000000001</v>
      </c>
      <c r="R347">
        <v>5</v>
      </c>
      <c r="S347">
        <f t="shared" si="34"/>
        <v>12335.654849999999</v>
      </c>
      <c r="T347">
        <f t="shared" si="35"/>
        <v>7027.7999999999993</v>
      </c>
      <c r="U347">
        <f t="shared" si="36"/>
        <v>5307.8548499999997</v>
      </c>
      <c r="V347">
        <f t="shared" si="37"/>
        <v>0.4302856163327235</v>
      </c>
    </row>
    <row r="348" spans="1:22" x14ac:dyDescent="0.25">
      <c r="A348" t="s">
        <v>567</v>
      </c>
      <c r="B348" s="14">
        <v>44988</v>
      </c>
      <c r="C348" s="14">
        <v>45005</v>
      </c>
      <c r="D348" s="7">
        <f t="shared" si="38"/>
        <v>17</v>
      </c>
      <c r="E348" s="5" t="str">
        <f t="shared" si="39"/>
        <v>Q1</v>
      </c>
      <c r="F348" t="s">
        <v>647</v>
      </c>
      <c r="G348" t="s">
        <v>652</v>
      </c>
      <c r="H348" t="s">
        <v>694</v>
      </c>
      <c r="I348" t="s">
        <v>705</v>
      </c>
      <c r="J348" t="s">
        <v>708</v>
      </c>
      <c r="K348" t="s">
        <v>726</v>
      </c>
      <c r="L348" t="s">
        <v>729</v>
      </c>
      <c r="M348">
        <f t="shared" si="40"/>
        <v>0.17121934992677074</v>
      </c>
      <c r="N348" t="s">
        <v>1284</v>
      </c>
      <c r="O348" s="7">
        <v>1171.17</v>
      </c>
      <c r="P348" s="7">
        <v>2030.64</v>
      </c>
      <c r="Q348" s="12">
        <v>0.157</v>
      </c>
      <c r="R348">
        <v>11</v>
      </c>
      <c r="S348">
        <f t="shared" si="34"/>
        <v>18830.12472</v>
      </c>
      <c r="T348">
        <f t="shared" si="35"/>
        <v>12882.87</v>
      </c>
      <c r="U348">
        <f t="shared" si="36"/>
        <v>5947.254719999999</v>
      </c>
      <c r="V348">
        <f t="shared" si="37"/>
        <v>0.31583724528830415</v>
      </c>
    </row>
    <row r="349" spans="1:22" x14ac:dyDescent="0.25">
      <c r="A349" t="s">
        <v>531</v>
      </c>
      <c r="B349" s="14">
        <v>45199</v>
      </c>
      <c r="C349" s="14">
        <v>45229</v>
      </c>
      <c r="D349" s="7">
        <f t="shared" si="38"/>
        <v>30</v>
      </c>
      <c r="E349" s="5" t="str">
        <f t="shared" si="39"/>
        <v>Q3</v>
      </c>
      <c r="F349" t="s">
        <v>647</v>
      </c>
      <c r="G349" t="s">
        <v>652</v>
      </c>
      <c r="H349" t="s">
        <v>689</v>
      </c>
      <c r="I349" t="s">
        <v>706</v>
      </c>
      <c r="J349" t="s">
        <v>710</v>
      </c>
      <c r="K349" t="s">
        <v>726</v>
      </c>
      <c r="L349" t="s">
        <v>728</v>
      </c>
      <c r="M349">
        <f t="shared" si="40"/>
        <v>0.20187711726687552</v>
      </c>
      <c r="N349" t="s">
        <v>1249</v>
      </c>
      <c r="O349" s="7">
        <v>649.13</v>
      </c>
      <c r="P349" s="7">
        <v>975.43</v>
      </c>
      <c r="Q349" s="12">
        <v>0.157</v>
      </c>
      <c r="R349">
        <v>27</v>
      </c>
      <c r="S349">
        <f t="shared" si="34"/>
        <v>22201.762229999997</v>
      </c>
      <c r="T349">
        <f t="shared" si="35"/>
        <v>17526.509999999998</v>
      </c>
      <c r="U349">
        <f t="shared" si="36"/>
        <v>4675.2522299999982</v>
      </c>
      <c r="V349">
        <f t="shared" si="37"/>
        <v>0.21058023149543473</v>
      </c>
    </row>
    <row r="350" spans="1:22" x14ac:dyDescent="0.25">
      <c r="A350" t="s">
        <v>294</v>
      </c>
      <c r="B350" s="14">
        <v>45229</v>
      </c>
      <c r="C350" s="14">
        <v>45244</v>
      </c>
      <c r="D350" s="7">
        <f t="shared" si="38"/>
        <v>15</v>
      </c>
      <c r="E350" s="5" t="str">
        <f t="shared" si="39"/>
        <v>Q4</v>
      </c>
      <c r="F350" t="s">
        <v>647</v>
      </c>
      <c r="G350" t="s">
        <v>654</v>
      </c>
      <c r="H350" t="s">
        <v>668</v>
      </c>
      <c r="I350" t="s">
        <v>701</v>
      </c>
      <c r="J350" t="s">
        <v>709</v>
      </c>
      <c r="K350" t="s">
        <v>721</v>
      </c>
      <c r="L350" t="s">
        <v>731</v>
      </c>
      <c r="M350">
        <f t="shared" si="40"/>
        <v>8.0996240963696134E-2</v>
      </c>
      <c r="N350" t="s">
        <v>1013</v>
      </c>
      <c r="O350" s="7">
        <v>953.46</v>
      </c>
      <c r="P350" s="7">
        <v>2066.75</v>
      </c>
      <c r="Q350" s="12">
        <v>0.13800000000000001</v>
      </c>
      <c r="R350">
        <v>5</v>
      </c>
      <c r="S350">
        <f t="shared" si="34"/>
        <v>8907.6924999999992</v>
      </c>
      <c r="T350">
        <f t="shared" si="35"/>
        <v>4767.3</v>
      </c>
      <c r="U350">
        <f t="shared" si="36"/>
        <v>4140.392499999999</v>
      </c>
      <c r="V350">
        <f t="shared" si="37"/>
        <v>0.46481089238318446</v>
      </c>
    </row>
    <row r="351" spans="1:22" x14ac:dyDescent="0.25">
      <c r="A351" t="s">
        <v>186</v>
      </c>
      <c r="B351" s="14">
        <v>45190</v>
      </c>
      <c r="C351" s="14">
        <v>45209</v>
      </c>
      <c r="D351" s="7">
        <f t="shared" si="38"/>
        <v>19</v>
      </c>
      <c r="E351" s="5" t="str">
        <f t="shared" si="39"/>
        <v>Q3</v>
      </c>
      <c r="F351" t="s">
        <v>647</v>
      </c>
      <c r="G351" t="s">
        <v>652</v>
      </c>
      <c r="H351" t="s">
        <v>689</v>
      </c>
      <c r="I351" t="s">
        <v>702</v>
      </c>
      <c r="J351" t="s">
        <v>711</v>
      </c>
      <c r="K351" t="s">
        <v>726</v>
      </c>
      <c r="L351" t="s">
        <v>727</v>
      </c>
      <c r="M351">
        <f t="shared" si="40"/>
        <v>8.1189801201773312E-2</v>
      </c>
      <c r="N351" t="s">
        <v>905</v>
      </c>
      <c r="O351" s="7">
        <v>845.63</v>
      </c>
      <c r="P351" s="7">
        <v>2062.12</v>
      </c>
      <c r="Q351" s="12">
        <v>0.13400000000000001</v>
      </c>
      <c r="R351">
        <v>5</v>
      </c>
      <c r="S351">
        <f t="shared" si="34"/>
        <v>8928.9795999999988</v>
      </c>
      <c r="T351">
        <f t="shared" si="35"/>
        <v>4228.1499999999996</v>
      </c>
      <c r="U351">
        <f t="shared" si="36"/>
        <v>4700.8295999999991</v>
      </c>
      <c r="V351">
        <f t="shared" si="37"/>
        <v>0.52646884757133949</v>
      </c>
    </row>
    <row r="352" spans="1:22" x14ac:dyDescent="0.25">
      <c r="A352" t="s">
        <v>570</v>
      </c>
      <c r="B352" s="14">
        <v>45535</v>
      </c>
      <c r="C352" s="14">
        <v>45561</v>
      </c>
      <c r="D352" s="7">
        <f t="shared" si="38"/>
        <v>26</v>
      </c>
      <c r="E352" s="5" t="str">
        <f t="shared" si="39"/>
        <v>Q3</v>
      </c>
      <c r="F352" t="s">
        <v>647</v>
      </c>
      <c r="G352" t="s">
        <v>652</v>
      </c>
      <c r="H352" t="s">
        <v>689</v>
      </c>
      <c r="I352" t="s">
        <v>702</v>
      </c>
      <c r="J352" t="s">
        <v>707</v>
      </c>
      <c r="K352" t="s">
        <v>714</v>
      </c>
      <c r="L352" t="s">
        <v>730</v>
      </c>
      <c r="M352">
        <f t="shared" si="40"/>
        <v>0.30508237734816984</v>
      </c>
      <c r="N352" t="s">
        <v>1287</v>
      </c>
      <c r="O352" s="7">
        <v>1189.03</v>
      </c>
      <c r="P352" s="7">
        <v>2949.62</v>
      </c>
      <c r="Q352" s="12">
        <v>0.125</v>
      </c>
      <c r="R352">
        <v>13</v>
      </c>
      <c r="S352">
        <f t="shared" si="34"/>
        <v>33551.927499999998</v>
      </c>
      <c r="T352">
        <f t="shared" si="35"/>
        <v>15457.39</v>
      </c>
      <c r="U352">
        <f t="shared" si="36"/>
        <v>18094.537499999999</v>
      </c>
      <c r="V352">
        <f t="shared" si="37"/>
        <v>0.53929949330034765</v>
      </c>
    </row>
    <row r="353" spans="1:22" x14ac:dyDescent="0.25">
      <c r="A353" t="s">
        <v>170</v>
      </c>
      <c r="B353" s="14">
        <v>45511</v>
      </c>
      <c r="C353" s="14">
        <v>45521</v>
      </c>
      <c r="D353" s="7">
        <f t="shared" si="38"/>
        <v>10</v>
      </c>
      <c r="E353" s="5" t="str">
        <f t="shared" si="39"/>
        <v>Q3</v>
      </c>
      <c r="F353" t="s">
        <v>647</v>
      </c>
      <c r="G353" t="s">
        <v>652</v>
      </c>
      <c r="H353" t="s">
        <v>666</v>
      </c>
      <c r="I353" t="s">
        <v>704</v>
      </c>
      <c r="J353" t="s">
        <v>708</v>
      </c>
      <c r="K353" t="s">
        <v>723</v>
      </c>
      <c r="L353" t="s">
        <v>729</v>
      </c>
      <c r="M353">
        <f t="shared" si="40"/>
        <v>8.1014173684937227E-2</v>
      </c>
      <c r="N353" t="s">
        <v>889</v>
      </c>
      <c r="O353" s="7">
        <v>436.58</v>
      </c>
      <c r="P353" s="7">
        <v>527.48</v>
      </c>
      <c r="Q353" s="12">
        <v>0.111</v>
      </c>
      <c r="R353">
        <v>19</v>
      </c>
      <c r="S353">
        <f t="shared" si="34"/>
        <v>8909.6646800000017</v>
      </c>
      <c r="T353">
        <f t="shared" si="35"/>
        <v>8295.02</v>
      </c>
      <c r="U353">
        <f t="shared" si="36"/>
        <v>614.64468000000124</v>
      </c>
      <c r="V353">
        <f t="shared" si="37"/>
        <v>6.8986286473802644E-2</v>
      </c>
    </row>
    <row r="354" spans="1:22" x14ac:dyDescent="0.25">
      <c r="A354" t="s">
        <v>76</v>
      </c>
      <c r="B354" s="14">
        <v>45910</v>
      </c>
      <c r="C354" s="14">
        <v>45912</v>
      </c>
      <c r="D354" s="7">
        <f t="shared" si="38"/>
        <v>2</v>
      </c>
      <c r="E354" s="5" t="str">
        <f t="shared" si="39"/>
        <v>Q3</v>
      </c>
      <c r="F354" t="s">
        <v>647</v>
      </c>
      <c r="G354" t="s">
        <v>652</v>
      </c>
      <c r="H354" t="s">
        <v>689</v>
      </c>
      <c r="I354" t="s">
        <v>704</v>
      </c>
      <c r="J354" t="s">
        <v>708</v>
      </c>
      <c r="K354" t="s">
        <v>719</v>
      </c>
      <c r="L354" t="s">
        <v>727</v>
      </c>
      <c r="M354">
        <f t="shared" si="40"/>
        <v>0.25188600428126506</v>
      </c>
      <c r="N354" t="s">
        <v>795</v>
      </c>
      <c r="O354" s="7">
        <v>1470.15</v>
      </c>
      <c r="P354" s="7">
        <v>2593.7800000000002</v>
      </c>
      <c r="Q354" s="12">
        <v>0.11</v>
      </c>
      <c r="R354">
        <v>12</v>
      </c>
      <c r="S354">
        <f t="shared" si="34"/>
        <v>27701.570400000001</v>
      </c>
      <c r="T354">
        <f t="shared" si="35"/>
        <v>17641.800000000003</v>
      </c>
      <c r="U354">
        <f t="shared" si="36"/>
        <v>10059.770399999998</v>
      </c>
      <c r="V354">
        <f t="shared" si="37"/>
        <v>0.36314801849645306</v>
      </c>
    </row>
    <row r="355" spans="1:22" x14ac:dyDescent="0.25">
      <c r="A355" t="s">
        <v>518</v>
      </c>
      <c r="B355" s="14">
        <v>45740</v>
      </c>
      <c r="C355" s="14">
        <v>45741</v>
      </c>
      <c r="D355" s="7">
        <f t="shared" si="38"/>
        <v>1</v>
      </c>
      <c r="E355" s="5" t="str">
        <f t="shared" si="39"/>
        <v>Q1</v>
      </c>
      <c r="F355" t="s">
        <v>647</v>
      </c>
      <c r="G355" t="s">
        <v>659</v>
      </c>
      <c r="H355" t="s">
        <v>699</v>
      </c>
      <c r="I355" t="s">
        <v>703</v>
      </c>
      <c r="J355" t="s">
        <v>708</v>
      </c>
      <c r="K355" t="s">
        <v>715</v>
      </c>
      <c r="L355" t="s">
        <v>729</v>
      </c>
      <c r="M355">
        <f t="shared" si="40"/>
        <v>7.8536581269370506E-2</v>
      </c>
      <c r="N355" t="s">
        <v>1236</v>
      </c>
      <c r="O355" s="7">
        <v>1133.03</v>
      </c>
      <c r="P355" s="7">
        <v>1921.51</v>
      </c>
      <c r="Q355" s="12">
        <v>0.10100000000000001</v>
      </c>
      <c r="R355">
        <v>5</v>
      </c>
      <c r="S355">
        <f t="shared" si="34"/>
        <v>8637.1874499999994</v>
      </c>
      <c r="T355">
        <f t="shared" si="35"/>
        <v>5665.15</v>
      </c>
      <c r="U355">
        <f t="shared" si="36"/>
        <v>2972.0374499999998</v>
      </c>
      <c r="V355">
        <f t="shared" si="37"/>
        <v>0.3440978289755654</v>
      </c>
    </row>
    <row r="356" spans="1:22" x14ac:dyDescent="0.25">
      <c r="A356" t="s">
        <v>256</v>
      </c>
      <c r="B356" s="14">
        <v>45793</v>
      </c>
      <c r="C356" s="14">
        <v>45804</v>
      </c>
      <c r="D356" s="7">
        <f t="shared" si="38"/>
        <v>11</v>
      </c>
      <c r="E356" s="5" t="str">
        <f t="shared" si="39"/>
        <v>Q2</v>
      </c>
      <c r="F356" t="s">
        <v>647</v>
      </c>
      <c r="G356" t="s">
        <v>659</v>
      </c>
      <c r="H356" t="s">
        <v>699</v>
      </c>
      <c r="I356" t="s">
        <v>706</v>
      </c>
      <c r="J356" t="s">
        <v>711</v>
      </c>
      <c r="K356" t="s">
        <v>721</v>
      </c>
      <c r="L356" t="s">
        <v>730</v>
      </c>
      <c r="M356">
        <f t="shared" si="40"/>
        <v>8.8063044138649973E-2</v>
      </c>
      <c r="N356" t="s">
        <v>975</v>
      </c>
      <c r="O356" s="7">
        <v>918.12</v>
      </c>
      <c r="P356" s="7">
        <v>1337.69</v>
      </c>
      <c r="Q356" s="12">
        <v>9.5000000000000001E-2</v>
      </c>
      <c r="R356">
        <v>8</v>
      </c>
      <c r="S356">
        <f t="shared" si="34"/>
        <v>9684.8756000000012</v>
      </c>
      <c r="T356">
        <f t="shared" si="35"/>
        <v>7344.96</v>
      </c>
      <c r="U356">
        <f t="shared" si="36"/>
        <v>2339.9156000000012</v>
      </c>
      <c r="V356">
        <f t="shared" si="37"/>
        <v>0.24160512707050164</v>
      </c>
    </row>
    <row r="357" spans="1:22" x14ac:dyDescent="0.25">
      <c r="A357" t="s">
        <v>309</v>
      </c>
      <c r="B357" s="14">
        <v>45758</v>
      </c>
      <c r="C357" s="14">
        <v>45781</v>
      </c>
      <c r="D357" s="7">
        <f t="shared" si="38"/>
        <v>23</v>
      </c>
      <c r="E357" s="5" t="str">
        <f t="shared" si="39"/>
        <v>Q2</v>
      </c>
      <c r="F357" t="s">
        <v>647</v>
      </c>
      <c r="G357" t="s">
        <v>652</v>
      </c>
      <c r="H357" t="s">
        <v>666</v>
      </c>
      <c r="I357" t="s">
        <v>705</v>
      </c>
      <c r="J357" t="s">
        <v>707</v>
      </c>
      <c r="K357" t="s">
        <v>724</v>
      </c>
      <c r="L357" t="s">
        <v>727</v>
      </c>
      <c r="M357">
        <f t="shared" si="40"/>
        <v>8.0957973737913941E-2</v>
      </c>
      <c r="N357" t="s">
        <v>1028</v>
      </c>
      <c r="O357" s="7">
        <v>786.2</v>
      </c>
      <c r="P357" s="7">
        <v>1075.3</v>
      </c>
      <c r="Q357" s="12">
        <v>0.08</v>
      </c>
      <c r="R357">
        <v>9</v>
      </c>
      <c r="S357">
        <f t="shared" si="34"/>
        <v>8903.4839999999986</v>
      </c>
      <c r="T357">
        <f t="shared" si="35"/>
        <v>7075.8</v>
      </c>
      <c r="U357">
        <f t="shared" si="36"/>
        <v>1827.6839999999984</v>
      </c>
      <c r="V357">
        <f t="shared" si="37"/>
        <v>0.20527739478163815</v>
      </c>
    </row>
    <row r="358" spans="1:22" x14ac:dyDescent="0.25">
      <c r="A358" t="s">
        <v>487</v>
      </c>
      <c r="B358" s="14">
        <v>45841</v>
      </c>
      <c r="C358" s="14">
        <v>45861</v>
      </c>
      <c r="D358" s="7">
        <f t="shared" si="38"/>
        <v>20</v>
      </c>
      <c r="E358" s="5" t="str">
        <f t="shared" si="39"/>
        <v>Q3</v>
      </c>
      <c r="F358" t="s">
        <v>647</v>
      </c>
      <c r="G358" t="s">
        <v>659</v>
      </c>
      <c r="H358" t="s">
        <v>699</v>
      </c>
      <c r="I358" t="s">
        <v>705</v>
      </c>
      <c r="J358" t="s">
        <v>711</v>
      </c>
      <c r="K358" t="s">
        <v>724</v>
      </c>
      <c r="L358" t="s">
        <v>727</v>
      </c>
      <c r="M358">
        <f t="shared" si="40"/>
        <v>0.13979847481923913</v>
      </c>
      <c r="N358" t="s">
        <v>1205</v>
      </c>
      <c r="O358" s="7">
        <v>647.36</v>
      </c>
      <c r="P358" s="7">
        <v>1383.6</v>
      </c>
      <c r="Q358" s="12">
        <v>7.3999999999999996E-2</v>
      </c>
      <c r="R358">
        <v>12</v>
      </c>
      <c r="S358">
        <f t="shared" si="34"/>
        <v>15374.563199999999</v>
      </c>
      <c r="T358">
        <f t="shared" si="35"/>
        <v>7768.32</v>
      </c>
      <c r="U358">
        <f t="shared" si="36"/>
        <v>7606.243199999999</v>
      </c>
      <c r="V358">
        <f t="shared" si="37"/>
        <v>0.49472906000997802</v>
      </c>
    </row>
    <row r="359" spans="1:22" x14ac:dyDescent="0.25">
      <c r="A359" t="s">
        <v>176</v>
      </c>
      <c r="B359" s="14">
        <v>45595</v>
      </c>
      <c r="C359" s="14">
        <v>45620</v>
      </c>
      <c r="D359" s="7">
        <f t="shared" si="38"/>
        <v>25</v>
      </c>
      <c r="E359" s="5" t="str">
        <f t="shared" si="39"/>
        <v>Q4</v>
      </c>
      <c r="F359" t="s">
        <v>647</v>
      </c>
      <c r="G359" t="s">
        <v>659</v>
      </c>
      <c r="H359" t="s">
        <v>676</v>
      </c>
      <c r="I359" t="s">
        <v>705</v>
      </c>
      <c r="J359" t="s">
        <v>710</v>
      </c>
      <c r="K359" t="s">
        <v>718</v>
      </c>
      <c r="L359" t="s">
        <v>727</v>
      </c>
      <c r="M359">
        <f t="shared" si="40"/>
        <v>5.1376143393960585E-2</v>
      </c>
      <c r="N359" t="s">
        <v>895</v>
      </c>
      <c r="O359" s="7">
        <v>811.05</v>
      </c>
      <c r="P359" s="7">
        <v>1217.71</v>
      </c>
      <c r="Q359" s="12">
        <v>7.1999999999999995E-2</v>
      </c>
      <c r="R359">
        <v>5</v>
      </c>
      <c r="S359">
        <f t="shared" si="34"/>
        <v>5650.1744000000008</v>
      </c>
      <c r="T359">
        <f t="shared" si="35"/>
        <v>4055.25</v>
      </c>
      <c r="U359">
        <f t="shared" si="36"/>
        <v>1594.9244000000008</v>
      </c>
      <c r="V359">
        <f t="shared" si="37"/>
        <v>0.28227879125288602</v>
      </c>
    </row>
    <row r="360" spans="1:22" x14ac:dyDescent="0.25">
      <c r="A360" t="s">
        <v>250</v>
      </c>
      <c r="B360" s="14">
        <v>45302</v>
      </c>
      <c r="C360" s="14">
        <v>45324</v>
      </c>
      <c r="D360" s="7">
        <f t="shared" si="38"/>
        <v>22</v>
      </c>
      <c r="E360" s="5" t="str">
        <f t="shared" si="39"/>
        <v>Q1</v>
      </c>
      <c r="F360" t="s">
        <v>647</v>
      </c>
      <c r="G360" t="s">
        <v>652</v>
      </c>
      <c r="H360" t="s">
        <v>694</v>
      </c>
      <c r="I360" t="s">
        <v>705</v>
      </c>
      <c r="J360" t="s">
        <v>708</v>
      </c>
      <c r="K360" t="s">
        <v>1430</v>
      </c>
      <c r="L360" t="s">
        <v>728</v>
      </c>
      <c r="M360">
        <f t="shared" si="40"/>
        <v>0.15784996312608779</v>
      </c>
      <c r="N360" t="s">
        <v>969</v>
      </c>
      <c r="O360" s="7">
        <v>1237.68</v>
      </c>
      <c r="P360" s="7">
        <v>1432.8</v>
      </c>
      <c r="Q360" s="12">
        <v>6.8000000000000005E-2</v>
      </c>
      <c r="R360">
        <v>13</v>
      </c>
      <c r="S360">
        <f t="shared" si="34"/>
        <v>17359.804799999998</v>
      </c>
      <c r="T360">
        <f t="shared" si="35"/>
        <v>16089.84</v>
      </c>
      <c r="U360">
        <f t="shared" si="36"/>
        <v>1269.9647999999979</v>
      </c>
      <c r="V360">
        <f t="shared" si="37"/>
        <v>7.315547695559331E-2</v>
      </c>
    </row>
    <row r="361" spans="1:22" x14ac:dyDescent="0.25">
      <c r="A361" t="s">
        <v>351</v>
      </c>
      <c r="B361" s="14">
        <v>45484</v>
      </c>
      <c r="C361" s="14">
        <v>45504</v>
      </c>
      <c r="D361" s="7">
        <f t="shared" si="38"/>
        <v>20</v>
      </c>
      <c r="E361" s="5" t="str">
        <f t="shared" si="39"/>
        <v>Q3</v>
      </c>
      <c r="F361" t="s">
        <v>647</v>
      </c>
      <c r="G361" t="s">
        <v>659</v>
      </c>
      <c r="H361" t="s">
        <v>676</v>
      </c>
      <c r="I361" t="s">
        <v>704</v>
      </c>
      <c r="J361" t="s">
        <v>709</v>
      </c>
      <c r="K361" t="s">
        <v>715</v>
      </c>
      <c r="L361" t="s">
        <v>730</v>
      </c>
      <c r="M361">
        <f t="shared" si="40"/>
        <v>0.25685229783753522</v>
      </c>
      <c r="N361" t="s">
        <v>1070</v>
      </c>
      <c r="O361" s="7">
        <v>647.26</v>
      </c>
      <c r="P361" s="7">
        <v>1374.72</v>
      </c>
      <c r="Q361" s="12">
        <v>6.6000000000000003E-2</v>
      </c>
      <c r="R361">
        <v>22</v>
      </c>
      <c r="S361">
        <f t="shared" si="34"/>
        <v>28247.74656</v>
      </c>
      <c r="T361">
        <f t="shared" si="35"/>
        <v>14239.72</v>
      </c>
      <c r="U361">
        <f t="shared" si="36"/>
        <v>14008.02656</v>
      </c>
      <c r="V361">
        <f t="shared" si="37"/>
        <v>0.49589890401508901</v>
      </c>
    </row>
    <row r="362" spans="1:22" x14ac:dyDescent="0.25">
      <c r="A362" t="s">
        <v>269</v>
      </c>
      <c r="B362" s="14">
        <v>45592</v>
      </c>
      <c r="C362" s="14">
        <v>45616</v>
      </c>
      <c r="D362" s="7">
        <f t="shared" si="38"/>
        <v>24</v>
      </c>
      <c r="E362" s="5" t="str">
        <f t="shared" si="39"/>
        <v>Q4</v>
      </c>
      <c r="F362" t="s">
        <v>647</v>
      </c>
      <c r="G362" t="s">
        <v>652</v>
      </c>
      <c r="H362" t="s">
        <v>694</v>
      </c>
      <c r="I362" t="s">
        <v>703</v>
      </c>
      <c r="J362" t="s">
        <v>710</v>
      </c>
      <c r="K362" t="s">
        <v>722</v>
      </c>
      <c r="L362" t="s">
        <v>732</v>
      </c>
      <c r="M362">
        <f t="shared" si="40"/>
        <v>5.8815004388493436E-2</v>
      </c>
      <c r="N362" t="s">
        <v>988</v>
      </c>
      <c r="O362" s="7">
        <v>317.25</v>
      </c>
      <c r="P362" s="7">
        <v>758.92</v>
      </c>
      <c r="Q362" s="12">
        <v>5.2999999999999999E-2</v>
      </c>
      <c r="R362">
        <v>9</v>
      </c>
      <c r="S362">
        <f t="shared" si="34"/>
        <v>6468.2751599999992</v>
      </c>
      <c r="T362">
        <f t="shared" si="35"/>
        <v>2855.25</v>
      </c>
      <c r="U362">
        <f t="shared" si="36"/>
        <v>3613.0251599999992</v>
      </c>
      <c r="V362">
        <f t="shared" si="37"/>
        <v>0.5585762928489888</v>
      </c>
    </row>
    <row r="363" spans="1:22" x14ac:dyDescent="0.25">
      <c r="A363" t="s">
        <v>509</v>
      </c>
      <c r="B363" s="14">
        <v>45439</v>
      </c>
      <c r="C363" s="14">
        <v>45460</v>
      </c>
      <c r="D363" s="7">
        <f t="shared" si="38"/>
        <v>21</v>
      </c>
      <c r="E363" s="5" t="str">
        <f t="shared" si="39"/>
        <v>Q2</v>
      </c>
      <c r="F363" t="s">
        <v>647</v>
      </c>
      <c r="G363" t="s">
        <v>654</v>
      </c>
      <c r="H363" t="s">
        <v>680</v>
      </c>
      <c r="I363" t="s">
        <v>705</v>
      </c>
      <c r="J363" t="s">
        <v>707</v>
      </c>
      <c r="K363" t="s">
        <v>722</v>
      </c>
      <c r="L363" t="s">
        <v>733</v>
      </c>
      <c r="M363">
        <f t="shared" si="40"/>
        <v>0.10783833452889073</v>
      </c>
      <c r="N363" t="s">
        <v>1227</v>
      </c>
      <c r="O363" s="7">
        <v>465.02</v>
      </c>
      <c r="P363" s="7">
        <v>651.55999999999995</v>
      </c>
      <c r="Q363" s="12">
        <v>4.2000000000000003E-2</v>
      </c>
      <c r="R363">
        <v>19</v>
      </c>
      <c r="S363">
        <f t="shared" si="34"/>
        <v>11859.695119999998</v>
      </c>
      <c r="T363">
        <f t="shared" si="35"/>
        <v>8835.3799999999992</v>
      </c>
      <c r="U363">
        <f t="shared" si="36"/>
        <v>3024.3151199999993</v>
      </c>
      <c r="V363">
        <f t="shared" si="37"/>
        <v>0.25500783025187918</v>
      </c>
    </row>
    <row r="364" spans="1:22" x14ac:dyDescent="0.25">
      <c r="A364" t="s">
        <v>585</v>
      </c>
      <c r="B364" s="14">
        <v>45760</v>
      </c>
      <c r="C364" s="14">
        <v>45761</v>
      </c>
      <c r="D364" s="7">
        <f t="shared" si="38"/>
        <v>1</v>
      </c>
      <c r="E364" s="5" t="str">
        <f t="shared" si="39"/>
        <v>Q2</v>
      </c>
      <c r="F364" t="s">
        <v>647</v>
      </c>
      <c r="G364" t="s">
        <v>652</v>
      </c>
      <c r="H364" t="s">
        <v>666</v>
      </c>
      <c r="I364" t="s">
        <v>706</v>
      </c>
      <c r="J364" t="s">
        <v>709</v>
      </c>
      <c r="K364" t="s">
        <v>715</v>
      </c>
      <c r="L364" t="s">
        <v>727</v>
      </c>
      <c r="M364">
        <f t="shared" si="40"/>
        <v>3.0716964742510997E-2</v>
      </c>
      <c r="N364" t="s">
        <v>1302</v>
      </c>
      <c r="O364" s="7">
        <v>138.9</v>
      </c>
      <c r="P364" s="7">
        <v>289.92</v>
      </c>
      <c r="Q364" s="12">
        <v>2.9000000000000001E-2</v>
      </c>
      <c r="R364">
        <v>12</v>
      </c>
      <c r="S364">
        <f t="shared" si="34"/>
        <v>3378.1478400000001</v>
      </c>
      <c r="T364">
        <f t="shared" si="35"/>
        <v>1666.8000000000002</v>
      </c>
      <c r="U364">
        <f t="shared" si="36"/>
        <v>1711.3478399999999</v>
      </c>
      <c r="V364">
        <f t="shared" si="37"/>
        <v>0.50659353025828491</v>
      </c>
    </row>
    <row r="365" spans="1:22" x14ac:dyDescent="0.25">
      <c r="A365" t="s">
        <v>151</v>
      </c>
      <c r="B365" s="14">
        <v>45640</v>
      </c>
      <c r="C365" s="14">
        <v>45669</v>
      </c>
      <c r="D365" s="7">
        <f t="shared" si="38"/>
        <v>29</v>
      </c>
      <c r="E365" s="5" t="str">
        <f t="shared" si="39"/>
        <v>Q4</v>
      </c>
      <c r="F365" t="s">
        <v>647</v>
      </c>
      <c r="G365" t="s">
        <v>659</v>
      </c>
      <c r="H365" t="s">
        <v>676</v>
      </c>
      <c r="I365" t="s">
        <v>702</v>
      </c>
      <c r="J365" t="s">
        <v>711</v>
      </c>
      <c r="K365" t="s">
        <v>713</v>
      </c>
      <c r="L365" t="s">
        <v>727</v>
      </c>
      <c r="M365">
        <f t="shared" si="40"/>
        <v>8.818387200613903E-2</v>
      </c>
      <c r="N365" t="s">
        <v>870</v>
      </c>
      <c r="O365" s="7">
        <v>1412.15</v>
      </c>
      <c r="P365" s="7">
        <v>1631.04</v>
      </c>
      <c r="Q365" s="12">
        <v>8.9999999999999993E-3</v>
      </c>
      <c r="R365">
        <v>6</v>
      </c>
      <c r="S365">
        <f t="shared" si="34"/>
        <v>9698.1638399999993</v>
      </c>
      <c r="T365">
        <f t="shared" si="35"/>
        <v>8472.9000000000015</v>
      </c>
      <c r="U365">
        <f t="shared" si="36"/>
        <v>1225.2638399999978</v>
      </c>
      <c r="V365">
        <f t="shared" si="37"/>
        <v>0.12633977526203535</v>
      </c>
    </row>
    <row r="366" spans="1:22" x14ac:dyDescent="0.25">
      <c r="A366" t="s">
        <v>233</v>
      </c>
      <c r="B366" s="14">
        <v>45576</v>
      </c>
      <c r="C366" s="14">
        <v>45605</v>
      </c>
      <c r="D366" s="7">
        <f t="shared" si="38"/>
        <v>29</v>
      </c>
      <c r="E366" s="5" t="str">
        <f t="shared" si="39"/>
        <v>Q4</v>
      </c>
      <c r="F366" t="s">
        <v>647</v>
      </c>
      <c r="G366" t="s">
        <v>659</v>
      </c>
      <c r="H366" t="s">
        <v>685</v>
      </c>
      <c r="I366" t="s">
        <v>703</v>
      </c>
      <c r="J366" t="s">
        <v>708</v>
      </c>
      <c r="K366" t="s">
        <v>721</v>
      </c>
      <c r="L366" t="s">
        <v>728</v>
      </c>
      <c r="M366">
        <f t="shared" si="40"/>
        <v>5.9427473860400877E-2</v>
      </c>
      <c r="N366" t="s">
        <v>952</v>
      </c>
      <c r="O366" s="7">
        <v>391.64</v>
      </c>
      <c r="P366" s="7">
        <v>504.76</v>
      </c>
      <c r="Q366" s="12">
        <v>4.0000000000000001E-3</v>
      </c>
      <c r="R366">
        <v>13</v>
      </c>
      <c r="S366">
        <f t="shared" si="34"/>
        <v>6535.6324800000002</v>
      </c>
      <c r="T366">
        <f t="shared" si="35"/>
        <v>5091.32</v>
      </c>
      <c r="U366">
        <f t="shared" si="36"/>
        <v>1444.3124800000005</v>
      </c>
      <c r="V366">
        <f t="shared" si="37"/>
        <v>0.22099046793402319</v>
      </c>
    </row>
    <row r="367" spans="1:22" x14ac:dyDescent="0.25">
      <c r="A367" t="s">
        <v>446</v>
      </c>
      <c r="B367" s="14">
        <v>45654</v>
      </c>
      <c r="C367" s="14">
        <v>45665</v>
      </c>
      <c r="D367" s="7">
        <f t="shared" si="38"/>
        <v>11</v>
      </c>
      <c r="E367" s="5" t="str">
        <f t="shared" si="39"/>
        <v>Q4</v>
      </c>
      <c r="F367" t="s">
        <v>647</v>
      </c>
      <c r="G367" t="s">
        <v>659</v>
      </c>
      <c r="H367" t="s">
        <v>676</v>
      </c>
      <c r="I367" t="s">
        <v>706</v>
      </c>
      <c r="J367" t="s">
        <v>709</v>
      </c>
      <c r="K367" t="s">
        <v>723</v>
      </c>
      <c r="L367" t="s">
        <v>731</v>
      </c>
      <c r="M367">
        <f t="shared" si="40"/>
        <v>0.52790904144770756</v>
      </c>
      <c r="N367" t="s">
        <v>1164</v>
      </c>
      <c r="O367" s="7">
        <v>1201.31</v>
      </c>
      <c r="P367" s="7">
        <v>2764.65</v>
      </c>
      <c r="Q367" s="12">
        <v>0</v>
      </c>
      <c r="R367">
        <v>21</v>
      </c>
      <c r="S367">
        <f t="shared" si="34"/>
        <v>58057.65</v>
      </c>
      <c r="T367">
        <f t="shared" si="35"/>
        <v>25227.51</v>
      </c>
      <c r="U367">
        <f t="shared" si="36"/>
        <v>32830.14</v>
      </c>
      <c r="V367">
        <f t="shared" si="37"/>
        <v>0.56547483406579491</v>
      </c>
    </row>
    <row r="368" spans="1:22" x14ac:dyDescent="0.25">
      <c r="A368" t="s">
        <v>125</v>
      </c>
      <c r="B368" s="14">
        <v>45452</v>
      </c>
      <c r="C368" s="14">
        <v>45480</v>
      </c>
      <c r="D368" s="7">
        <f t="shared" si="38"/>
        <v>28</v>
      </c>
      <c r="E368" s="5" t="str">
        <f t="shared" si="39"/>
        <v>Q2</v>
      </c>
      <c r="F368" t="s">
        <v>647</v>
      </c>
      <c r="G368" t="s">
        <v>659</v>
      </c>
      <c r="H368" t="s">
        <v>676</v>
      </c>
      <c r="I368" t="s">
        <v>701</v>
      </c>
      <c r="J368" t="s">
        <v>710</v>
      </c>
      <c r="K368" t="s">
        <v>713</v>
      </c>
      <c r="L368" t="s">
        <v>727</v>
      </c>
      <c r="M368">
        <f t="shared" si="40"/>
        <v>0.25165667916753881</v>
      </c>
      <c r="N368" t="s">
        <v>844</v>
      </c>
      <c r="O368" s="7">
        <v>550.22</v>
      </c>
      <c r="P368" s="7">
        <v>1025.05</v>
      </c>
      <c r="Q368" s="12">
        <v>0</v>
      </c>
      <c r="R368">
        <v>27</v>
      </c>
      <c r="S368">
        <f t="shared" si="34"/>
        <v>27676.35</v>
      </c>
      <c r="T368">
        <f t="shared" si="35"/>
        <v>14855.94</v>
      </c>
      <c r="U368">
        <f t="shared" si="36"/>
        <v>12820.409999999998</v>
      </c>
      <c r="V368">
        <f t="shared" si="37"/>
        <v>0.46322618408858102</v>
      </c>
    </row>
    <row r="369" spans="1:22" x14ac:dyDescent="0.25">
      <c r="A369" t="s">
        <v>407</v>
      </c>
      <c r="B369" s="14">
        <v>45208</v>
      </c>
      <c r="C369" s="14">
        <v>45225</v>
      </c>
      <c r="D369" s="7">
        <f t="shared" si="38"/>
        <v>17</v>
      </c>
      <c r="E369" s="5" t="str">
        <f t="shared" si="39"/>
        <v>Q4</v>
      </c>
      <c r="F369" t="s">
        <v>647</v>
      </c>
      <c r="G369" t="s">
        <v>659</v>
      </c>
      <c r="H369" t="s">
        <v>685</v>
      </c>
      <c r="I369" t="s">
        <v>704</v>
      </c>
      <c r="J369" t="s">
        <v>710</v>
      </c>
      <c r="K369" t="s">
        <v>712</v>
      </c>
      <c r="L369" t="s">
        <v>727</v>
      </c>
      <c r="M369">
        <f t="shared" si="40"/>
        <v>0.43734670828121014</v>
      </c>
      <c r="N369" t="s">
        <v>1125</v>
      </c>
      <c r="O369" s="7">
        <v>1132.03</v>
      </c>
      <c r="P369" s="7">
        <v>2137.21</v>
      </c>
      <c r="Q369" s="12">
        <v>0.35699999999999998</v>
      </c>
      <c r="R369">
        <v>35</v>
      </c>
      <c r="S369">
        <f t="shared" si="34"/>
        <v>48097.911050000002</v>
      </c>
      <c r="T369">
        <f t="shared" si="35"/>
        <v>39621.049999999996</v>
      </c>
      <c r="U369">
        <f t="shared" si="36"/>
        <v>8476.8610500000068</v>
      </c>
      <c r="V369">
        <f t="shared" si="37"/>
        <v>0.17624177152284051</v>
      </c>
    </row>
    <row r="370" spans="1:22" x14ac:dyDescent="0.25">
      <c r="A370" t="s">
        <v>442</v>
      </c>
      <c r="B370" s="14">
        <v>45522</v>
      </c>
      <c r="C370" s="14">
        <v>45547</v>
      </c>
      <c r="D370" s="7">
        <f t="shared" si="38"/>
        <v>25</v>
      </c>
      <c r="E370" s="5" t="str">
        <f t="shared" si="39"/>
        <v>Q3</v>
      </c>
      <c r="F370" t="s">
        <v>647</v>
      </c>
      <c r="G370" t="s">
        <v>654</v>
      </c>
      <c r="H370" t="s">
        <v>691</v>
      </c>
      <c r="I370" t="s">
        <v>704</v>
      </c>
      <c r="J370" t="s">
        <v>708</v>
      </c>
      <c r="K370" t="s">
        <v>712</v>
      </c>
      <c r="L370" t="s">
        <v>730</v>
      </c>
      <c r="M370">
        <f t="shared" si="40"/>
        <v>0.17856309797485551</v>
      </c>
      <c r="N370" t="s">
        <v>1160</v>
      </c>
      <c r="O370" s="7">
        <v>1154.03</v>
      </c>
      <c r="P370" s="7">
        <v>1590.36</v>
      </c>
      <c r="Q370" s="12">
        <v>0.314</v>
      </c>
      <c r="R370">
        <v>18</v>
      </c>
      <c r="S370">
        <f t="shared" si="34"/>
        <v>19637.76528</v>
      </c>
      <c r="T370">
        <f t="shared" si="35"/>
        <v>20772.54</v>
      </c>
      <c r="U370">
        <f t="shared" si="36"/>
        <v>-1134.7747200000013</v>
      </c>
      <c r="V370">
        <f t="shared" si="37"/>
        <v>-5.7785328616576745E-2</v>
      </c>
    </row>
    <row r="371" spans="1:22" x14ac:dyDescent="0.25">
      <c r="A371" t="s">
        <v>347</v>
      </c>
      <c r="B371" s="14">
        <v>45168</v>
      </c>
      <c r="C371" s="14">
        <v>45172</v>
      </c>
      <c r="D371" s="7">
        <f t="shared" si="38"/>
        <v>4</v>
      </c>
      <c r="E371" s="5" t="str">
        <f t="shared" si="39"/>
        <v>Q3</v>
      </c>
      <c r="F371" t="s">
        <v>647</v>
      </c>
      <c r="G371" t="s">
        <v>654</v>
      </c>
      <c r="H371" t="s">
        <v>680</v>
      </c>
      <c r="I371" t="s">
        <v>705</v>
      </c>
      <c r="J371" t="s">
        <v>708</v>
      </c>
      <c r="K371" t="s">
        <v>716</v>
      </c>
      <c r="L371" t="s">
        <v>733</v>
      </c>
      <c r="M371">
        <f t="shared" si="40"/>
        <v>6.4607850744833537E-2</v>
      </c>
      <c r="N371" t="s">
        <v>1066</v>
      </c>
      <c r="O371" s="7">
        <v>1082.25</v>
      </c>
      <c r="P371" s="7">
        <v>2433.34</v>
      </c>
      <c r="Q371" s="12">
        <v>0.27</v>
      </c>
      <c r="R371">
        <v>4</v>
      </c>
      <c r="S371">
        <f t="shared" si="34"/>
        <v>7105.3528000000006</v>
      </c>
      <c r="T371">
        <f t="shared" si="35"/>
        <v>4329</v>
      </c>
      <c r="U371">
        <f t="shared" si="36"/>
        <v>2776.3528000000006</v>
      </c>
      <c r="V371">
        <f t="shared" si="37"/>
        <v>0.3907410199251472</v>
      </c>
    </row>
    <row r="372" spans="1:22" x14ac:dyDescent="0.25">
      <c r="A372" t="s">
        <v>358</v>
      </c>
      <c r="B372" s="14">
        <v>45339</v>
      </c>
      <c r="C372" s="14">
        <v>45355</v>
      </c>
      <c r="D372" s="7">
        <f t="shared" si="38"/>
        <v>16</v>
      </c>
      <c r="E372" s="5" t="str">
        <f t="shared" si="39"/>
        <v>Q1</v>
      </c>
      <c r="F372" t="s">
        <v>647</v>
      </c>
      <c r="G372" t="s">
        <v>654</v>
      </c>
      <c r="H372" t="s">
        <v>680</v>
      </c>
      <c r="I372" t="s">
        <v>705</v>
      </c>
      <c r="J372" t="s">
        <v>707</v>
      </c>
      <c r="K372" t="s">
        <v>721</v>
      </c>
      <c r="L372" t="s">
        <v>730</v>
      </c>
      <c r="M372">
        <f t="shared" si="40"/>
        <v>8.1280002740514626E-2</v>
      </c>
      <c r="N372" t="s">
        <v>1077</v>
      </c>
      <c r="O372" s="7">
        <v>1231.8</v>
      </c>
      <c r="P372" s="7">
        <v>2015.99</v>
      </c>
      <c r="Q372" s="12">
        <v>0.26100000000000001</v>
      </c>
      <c r="R372">
        <v>6</v>
      </c>
      <c r="S372">
        <f t="shared" si="34"/>
        <v>8938.8996600000009</v>
      </c>
      <c r="T372">
        <f t="shared" si="35"/>
        <v>7390.7999999999993</v>
      </c>
      <c r="U372">
        <f t="shared" si="36"/>
        <v>1548.0996600000017</v>
      </c>
      <c r="V372">
        <f t="shared" si="37"/>
        <v>0.17318682599464391</v>
      </c>
    </row>
    <row r="373" spans="1:22" x14ac:dyDescent="0.25">
      <c r="A373" t="s">
        <v>479</v>
      </c>
      <c r="B373" s="14">
        <v>45865</v>
      </c>
      <c r="C373" s="14">
        <v>45884</v>
      </c>
      <c r="D373" s="7">
        <f t="shared" si="38"/>
        <v>19</v>
      </c>
      <c r="E373" s="5" t="str">
        <f t="shared" si="39"/>
        <v>Q3</v>
      </c>
      <c r="F373" t="s">
        <v>647</v>
      </c>
      <c r="G373" t="s">
        <v>652</v>
      </c>
      <c r="H373" t="s">
        <v>689</v>
      </c>
      <c r="I373" t="s">
        <v>705</v>
      </c>
      <c r="J373" t="s">
        <v>708</v>
      </c>
      <c r="K373" t="s">
        <v>713</v>
      </c>
      <c r="L373" t="s">
        <v>727</v>
      </c>
      <c r="M373">
        <f t="shared" si="40"/>
        <v>1.6440275976045162E-2</v>
      </c>
      <c r="N373" t="s">
        <v>1197</v>
      </c>
      <c r="O373" s="7">
        <v>275.43</v>
      </c>
      <c r="P373" s="7">
        <v>608.36</v>
      </c>
      <c r="Q373" s="12">
        <v>0.25700000000000001</v>
      </c>
      <c r="R373">
        <v>4</v>
      </c>
      <c r="S373">
        <f t="shared" si="34"/>
        <v>1808.04592</v>
      </c>
      <c r="T373">
        <f t="shared" si="35"/>
        <v>1101.72</v>
      </c>
      <c r="U373">
        <f t="shared" si="36"/>
        <v>706.32592</v>
      </c>
      <c r="V373">
        <f t="shared" si="37"/>
        <v>0.39065706915231446</v>
      </c>
    </row>
    <row r="374" spans="1:22" x14ac:dyDescent="0.25">
      <c r="A374" t="s">
        <v>185</v>
      </c>
      <c r="B374" s="14">
        <v>45488</v>
      </c>
      <c r="C374" s="14">
        <v>45488</v>
      </c>
      <c r="D374" s="7">
        <f t="shared" si="38"/>
        <v>0</v>
      </c>
      <c r="E374" s="5" t="str">
        <f t="shared" si="39"/>
        <v>Q3</v>
      </c>
      <c r="F374" t="s">
        <v>647</v>
      </c>
      <c r="G374" t="s">
        <v>652</v>
      </c>
      <c r="H374" t="s">
        <v>689</v>
      </c>
      <c r="I374" t="s">
        <v>705</v>
      </c>
      <c r="J374" t="s">
        <v>708</v>
      </c>
      <c r="K374" t="s">
        <v>715</v>
      </c>
      <c r="L374" t="s">
        <v>733</v>
      </c>
      <c r="M374">
        <f t="shared" si="40"/>
        <v>0.13229202382001309</v>
      </c>
      <c r="N374" t="s">
        <v>904</v>
      </c>
      <c r="O374" s="7">
        <v>801.77</v>
      </c>
      <c r="P374" s="7">
        <v>1218.92</v>
      </c>
      <c r="Q374" s="12">
        <v>0.254</v>
      </c>
      <c r="R374">
        <v>16</v>
      </c>
      <c r="S374">
        <f t="shared" si="34"/>
        <v>14549.029120000001</v>
      </c>
      <c r="T374">
        <f t="shared" si="35"/>
        <v>12828.32</v>
      </c>
      <c r="U374">
        <f t="shared" si="36"/>
        <v>1720.7091200000013</v>
      </c>
      <c r="V374">
        <f t="shared" si="37"/>
        <v>0.11826968698788344</v>
      </c>
    </row>
    <row r="375" spans="1:22" x14ac:dyDescent="0.25">
      <c r="A375" t="s">
        <v>439</v>
      </c>
      <c r="B375" s="14">
        <v>45341</v>
      </c>
      <c r="C375" s="14">
        <v>45357</v>
      </c>
      <c r="D375" s="7">
        <f t="shared" si="38"/>
        <v>16</v>
      </c>
      <c r="E375" s="5" t="str">
        <f t="shared" si="39"/>
        <v>Q1</v>
      </c>
      <c r="F375" t="s">
        <v>647</v>
      </c>
      <c r="G375" t="s">
        <v>659</v>
      </c>
      <c r="H375" t="s">
        <v>699</v>
      </c>
      <c r="I375" t="s">
        <v>702</v>
      </c>
      <c r="J375" t="s">
        <v>711</v>
      </c>
      <c r="K375" t="s">
        <v>719</v>
      </c>
      <c r="L375" t="s">
        <v>728</v>
      </c>
      <c r="M375">
        <f t="shared" si="40"/>
        <v>0.52821806132118221</v>
      </c>
      <c r="N375" t="s">
        <v>1157</v>
      </c>
      <c r="O375" s="7">
        <v>1477.84</v>
      </c>
      <c r="P375" s="7">
        <v>3197.47</v>
      </c>
      <c r="Q375" s="12">
        <v>0.24299999999999999</v>
      </c>
      <c r="R375">
        <v>24</v>
      </c>
      <c r="S375">
        <f t="shared" si="34"/>
        <v>58091.634960000003</v>
      </c>
      <c r="T375">
        <f t="shared" si="35"/>
        <v>35468.159999999996</v>
      </c>
      <c r="U375">
        <f t="shared" si="36"/>
        <v>22623.474960000007</v>
      </c>
      <c r="V375">
        <f t="shared" si="37"/>
        <v>0.38944462443823091</v>
      </c>
    </row>
    <row r="376" spans="1:22" x14ac:dyDescent="0.25">
      <c r="A376" t="s">
        <v>253</v>
      </c>
      <c r="B376" s="14">
        <v>45258</v>
      </c>
      <c r="C376" s="14">
        <v>45267</v>
      </c>
      <c r="D376" s="7">
        <f t="shared" si="38"/>
        <v>9</v>
      </c>
      <c r="E376" s="5" t="str">
        <f t="shared" si="39"/>
        <v>Q4</v>
      </c>
      <c r="F376" t="s">
        <v>647</v>
      </c>
      <c r="G376" t="s">
        <v>654</v>
      </c>
      <c r="H376" t="s">
        <v>680</v>
      </c>
      <c r="I376" t="s">
        <v>706</v>
      </c>
      <c r="J376" t="s">
        <v>709</v>
      </c>
      <c r="K376" t="s">
        <v>716</v>
      </c>
      <c r="L376" t="s">
        <v>730</v>
      </c>
      <c r="M376">
        <f t="shared" si="40"/>
        <v>6.0778261193516245E-2</v>
      </c>
      <c r="N376" t="s">
        <v>972</v>
      </c>
      <c r="O376" s="7">
        <v>699.33</v>
      </c>
      <c r="P376" s="7">
        <v>873.75</v>
      </c>
      <c r="Q376" s="12">
        <v>0.23499999999999999</v>
      </c>
      <c r="R376">
        <v>10</v>
      </c>
      <c r="S376">
        <f t="shared" si="34"/>
        <v>6684.1875</v>
      </c>
      <c r="T376">
        <f t="shared" si="35"/>
        <v>6993.3</v>
      </c>
      <c r="U376">
        <f t="shared" si="36"/>
        <v>-309.11250000000018</v>
      </c>
      <c r="V376">
        <f t="shared" si="37"/>
        <v>-4.6245336475076469E-2</v>
      </c>
    </row>
    <row r="377" spans="1:22" x14ac:dyDescent="0.25">
      <c r="A377" t="s">
        <v>300</v>
      </c>
      <c r="B377" s="14">
        <v>45101</v>
      </c>
      <c r="C377" s="14">
        <v>45128</v>
      </c>
      <c r="D377" s="7">
        <f t="shared" si="38"/>
        <v>27</v>
      </c>
      <c r="E377" s="5" t="str">
        <f t="shared" si="39"/>
        <v>Q2</v>
      </c>
      <c r="F377" t="s">
        <v>647</v>
      </c>
      <c r="G377" t="s">
        <v>652</v>
      </c>
      <c r="H377" t="s">
        <v>694</v>
      </c>
      <c r="I377" t="s">
        <v>704</v>
      </c>
      <c r="J377" t="s">
        <v>709</v>
      </c>
      <c r="K377" t="s">
        <v>713</v>
      </c>
      <c r="L377" t="s">
        <v>730</v>
      </c>
      <c r="M377">
        <f t="shared" si="40"/>
        <v>3.6177212394790589E-2</v>
      </c>
      <c r="N377" t="s">
        <v>1019</v>
      </c>
      <c r="O377" s="7">
        <v>554.76</v>
      </c>
      <c r="P377" s="7">
        <v>728.69</v>
      </c>
      <c r="Q377" s="12">
        <v>0.22</v>
      </c>
      <c r="R377">
        <v>7</v>
      </c>
      <c r="S377">
        <f t="shared" si="34"/>
        <v>3978.6474000000003</v>
      </c>
      <c r="T377">
        <f t="shared" si="35"/>
        <v>3883.3199999999997</v>
      </c>
      <c r="U377">
        <f t="shared" si="36"/>
        <v>95.32740000000058</v>
      </c>
      <c r="V377">
        <f t="shared" si="37"/>
        <v>2.395975074343119E-2</v>
      </c>
    </row>
    <row r="378" spans="1:22" x14ac:dyDescent="0.25">
      <c r="A378" t="s">
        <v>608</v>
      </c>
      <c r="B378" s="14">
        <v>45504</v>
      </c>
      <c r="C378" s="14">
        <v>45519</v>
      </c>
      <c r="D378" s="7">
        <f t="shared" si="38"/>
        <v>15</v>
      </c>
      <c r="E378" s="5" t="str">
        <f t="shared" si="39"/>
        <v>Q3</v>
      </c>
      <c r="F378" t="s">
        <v>647</v>
      </c>
      <c r="G378" t="s">
        <v>652</v>
      </c>
      <c r="H378" t="s">
        <v>689</v>
      </c>
      <c r="I378" t="s">
        <v>701</v>
      </c>
      <c r="J378" t="s">
        <v>708</v>
      </c>
      <c r="K378" t="s">
        <v>721</v>
      </c>
      <c r="L378" t="s">
        <v>732</v>
      </c>
      <c r="M378">
        <f t="shared" si="40"/>
        <v>5.2062427466517333E-2</v>
      </c>
      <c r="N378" t="s">
        <v>1325</v>
      </c>
      <c r="O378" s="7">
        <v>1252.52</v>
      </c>
      <c r="P378" s="7">
        <v>1417.24</v>
      </c>
      <c r="Q378" s="12">
        <v>0.192</v>
      </c>
      <c r="R378">
        <v>5</v>
      </c>
      <c r="S378">
        <f t="shared" si="34"/>
        <v>5725.6496000000006</v>
      </c>
      <c r="T378">
        <f t="shared" si="35"/>
        <v>6262.6</v>
      </c>
      <c r="U378">
        <f t="shared" si="36"/>
        <v>-536.95039999999972</v>
      </c>
      <c r="V378">
        <f t="shared" si="37"/>
        <v>-9.3779821943696953E-2</v>
      </c>
    </row>
    <row r="379" spans="1:22" x14ac:dyDescent="0.25">
      <c r="A379" t="s">
        <v>400</v>
      </c>
      <c r="B379" s="14">
        <v>45066</v>
      </c>
      <c r="C379" s="14">
        <v>45096</v>
      </c>
      <c r="D379" s="7">
        <f t="shared" si="38"/>
        <v>30</v>
      </c>
      <c r="E379" s="5" t="str">
        <f t="shared" si="39"/>
        <v>Q2</v>
      </c>
      <c r="F379" t="s">
        <v>647</v>
      </c>
      <c r="G379" t="s">
        <v>654</v>
      </c>
      <c r="H379" t="s">
        <v>680</v>
      </c>
      <c r="I379" t="s">
        <v>703</v>
      </c>
      <c r="J379" t="s">
        <v>711</v>
      </c>
      <c r="K379" t="s">
        <v>722</v>
      </c>
      <c r="L379" t="s">
        <v>731</v>
      </c>
      <c r="M379">
        <f t="shared" si="40"/>
        <v>0.20063274428266817</v>
      </c>
      <c r="N379" t="s">
        <v>1118</v>
      </c>
      <c r="O379" s="7">
        <v>1161.2</v>
      </c>
      <c r="P379" s="7">
        <v>878.73</v>
      </c>
      <c r="Q379" s="12">
        <v>0.19</v>
      </c>
      <c r="R379">
        <v>31</v>
      </c>
      <c r="S379">
        <f t="shared" si="34"/>
        <v>22064.910300000003</v>
      </c>
      <c r="T379">
        <f t="shared" si="35"/>
        <v>35997.200000000004</v>
      </c>
      <c r="U379">
        <f t="shared" si="36"/>
        <v>-13932.289700000001</v>
      </c>
      <c r="V379">
        <f t="shared" si="37"/>
        <v>-0.63142290227212028</v>
      </c>
    </row>
    <row r="380" spans="1:22" x14ac:dyDescent="0.25">
      <c r="A380" t="s">
        <v>167</v>
      </c>
      <c r="B380" s="14">
        <v>45267</v>
      </c>
      <c r="C380" s="15">
        <v>45265</v>
      </c>
      <c r="D380" s="7">
        <f t="shared" si="38"/>
        <v>-2</v>
      </c>
      <c r="E380" s="5" t="str">
        <f t="shared" si="39"/>
        <v>Q4</v>
      </c>
      <c r="F380" t="s">
        <v>647</v>
      </c>
      <c r="G380" t="s">
        <v>652</v>
      </c>
      <c r="H380" t="s">
        <v>689</v>
      </c>
      <c r="I380" t="s">
        <v>703</v>
      </c>
      <c r="J380" t="s">
        <v>707</v>
      </c>
      <c r="K380" t="s">
        <v>722</v>
      </c>
      <c r="L380" t="s">
        <v>728</v>
      </c>
      <c r="M380">
        <f t="shared" si="40"/>
        <v>3.7642663921480628E-2</v>
      </c>
      <c r="N380" t="s">
        <v>886</v>
      </c>
      <c r="O380" s="7">
        <v>1097.5899999999999</v>
      </c>
      <c r="P380" s="7">
        <v>845.55</v>
      </c>
      <c r="Q380" s="12">
        <v>0.184</v>
      </c>
      <c r="R380">
        <v>6</v>
      </c>
      <c r="S380">
        <f t="shared" si="34"/>
        <v>4139.8127999999997</v>
      </c>
      <c r="T380">
        <f t="shared" si="35"/>
        <v>6585.5399999999991</v>
      </c>
      <c r="U380">
        <f t="shared" si="36"/>
        <v>-2445.7271999999994</v>
      </c>
      <c r="V380">
        <f t="shared" si="37"/>
        <v>-0.59078207594314402</v>
      </c>
    </row>
    <row r="381" spans="1:22" x14ac:dyDescent="0.25">
      <c r="A381" t="s">
        <v>440</v>
      </c>
      <c r="B381" s="14">
        <v>45349</v>
      </c>
      <c r="C381" s="14">
        <v>45377</v>
      </c>
      <c r="D381" s="7">
        <f t="shared" si="38"/>
        <v>28</v>
      </c>
      <c r="E381" s="5" t="str">
        <f t="shared" si="39"/>
        <v>Q1</v>
      </c>
      <c r="F381" t="s">
        <v>647</v>
      </c>
      <c r="G381" t="s">
        <v>654</v>
      </c>
      <c r="H381" t="s">
        <v>691</v>
      </c>
      <c r="I381" t="s">
        <v>702</v>
      </c>
      <c r="J381" t="s">
        <v>708</v>
      </c>
      <c r="K381" t="s">
        <v>715</v>
      </c>
      <c r="L381" t="s">
        <v>731</v>
      </c>
      <c r="M381">
        <f t="shared" si="40"/>
        <v>0.13972955107647353</v>
      </c>
      <c r="N381" t="s">
        <v>1158</v>
      </c>
      <c r="O381" s="7">
        <v>1035.19</v>
      </c>
      <c r="P381" s="7">
        <v>2322.6999999999998</v>
      </c>
      <c r="Q381" s="12">
        <v>0.17299999999999999</v>
      </c>
      <c r="R381">
        <v>8</v>
      </c>
      <c r="S381">
        <f t="shared" si="34"/>
        <v>15366.983199999999</v>
      </c>
      <c r="T381">
        <f t="shared" si="35"/>
        <v>8281.52</v>
      </c>
      <c r="U381">
        <f t="shared" si="36"/>
        <v>7085.4631999999983</v>
      </c>
      <c r="V381">
        <f t="shared" si="37"/>
        <v>0.46108355217047409</v>
      </c>
    </row>
    <row r="382" spans="1:22" x14ac:dyDescent="0.25">
      <c r="A382" t="s">
        <v>21</v>
      </c>
      <c r="B382" s="14">
        <v>45653</v>
      </c>
      <c r="C382" s="14">
        <v>45671</v>
      </c>
      <c r="D382" s="7">
        <f t="shared" si="38"/>
        <v>18</v>
      </c>
      <c r="E382" s="5" t="str">
        <f t="shared" si="39"/>
        <v>Q4</v>
      </c>
      <c r="F382" t="s">
        <v>647</v>
      </c>
      <c r="G382" t="s">
        <v>654</v>
      </c>
      <c r="H382" t="s">
        <v>668</v>
      </c>
      <c r="I382" t="s">
        <v>705</v>
      </c>
      <c r="J382" t="s">
        <v>711</v>
      </c>
      <c r="K382" t="s">
        <v>718</v>
      </c>
      <c r="L382" t="s">
        <v>732</v>
      </c>
      <c r="M382">
        <f t="shared" si="40"/>
        <v>2.6246030671918E-2</v>
      </c>
      <c r="N382" t="s">
        <v>740</v>
      </c>
      <c r="O382" s="7">
        <v>586.07000000000005</v>
      </c>
      <c r="P382" s="7">
        <v>845.97</v>
      </c>
      <c r="Q382" s="12">
        <v>0.14699999999999999</v>
      </c>
      <c r="R382">
        <v>4</v>
      </c>
      <c r="S382">
        <f t="shared" si="34"/>
        <v>2886.4496399999998</v>
      </c>
      <c r="T382">
        <f t="shared" si="35"/>
        <v>2344.2800000000002</v>
      </c>
      <c r="U382">
        <f t="shared" si="36"/>
        <v>542.16963999999962</v>
      </c>
      <c r="V382">
        <f t="shared" si="37"/>
        <v>0.18783270370862928</v>
      </c>
    </row>
    <row r="383" spans="1:22" x14ac:dyDescent="0.25">
      <c r="A383" t="s">
        <v>349</v>
      </c>
      <c r="B383" s="14">
        <v>45774</v>
      </c>
      <c r="C383" s="14">
        <v>45804</v>
      </c>
      <c r="D383" s="7">
        <f t="shared" si="38"/>
        <v>30</v>
      </c>
      <c r="E383" s="5" t="str">
        <f t="shared" si="39"/>
        <v>Q2</v>
      </c>
      <c r="F383" t="s">
        <v>647</v>
      </c>
      <c r="G383" t="s">
        <v>654</v>
      </c>
      <c r="H383" t="s">
        <v>1430</v>
      </c>
      <c r="I383" t="s">
        <v>706</v>
      </c>
      <c r="J383" t="s">
        <v>711</v>
      </c>
      <c r="K383" t="s">
        <v>722</v>
      </c>
      <c r="L383" t="s">
        <v>730</v>
      </c>
      <c r="M383">
        <f t="shared" si="40"/>
        <v>4.4158089429646649E-2</v>
      </c>
      <c r="N383" t="s">
        <v>1068</v>
      </c>
      <c r="O383" s="7">
        <v>481.32</v>
      </c>
      <c r="P383" s="7">
        <v>1135.99</v>
      </c>
      <c r="Q383" s="12">
        <v>0.14499999999999999</v>
      </c>
      <c r="R383">
        <v>5</v>
      </c>
      <c r="S383">
        <f t="shared" si="34"/>
        <v>4856.35725</v>
      </c>
      <c r="T383">
        <f t="shared" si="35"/>
        <v>2406.6</v>
      </c>
      <c r="U383">
        <f t="shared" si="36"/>
        <v>2449.7572500000001</v>
      </c>
      <c r="V383">
        <f t="shared" si="37"/>
        <v>0.50444337677175621</v>
      </c>
    </row>
    <row r="384" spans="1:22" x14ac:dyDescent="0.25">
      <c r="A384" t="s">
        <v>36</v>
      </c>
      <c r="B384" s="14">
        <v>45057</v>
      </c>
      <c r="C384" s="14">
        <v>45074</v>
      </c>
      <c r="D384" s="7">
        <f t="shared" si="38"/>
        <v>17</v>
      </c>
      <c r="E384" s="5" t="str">
        <f t="shared" si="39"/>
        <v>Q2</v>
      </c>
      <c r="F384" t="s">
        <v>647</v>
      </c>
      <c r="G384" t="s">
        <v>659</v>
      </c>
      <c r="H384" t="s">
        <v>676</v>
      </c>
      <c r="I384" t="s">
        <v>706</v>
      </c>
      <c r="J384" t="s">
        <v>709</v>
      </c>
      <c r="K384" t="s">
        <v>718</v>
      </c>
      <c r="L384" t="s">
        <v>729</v>
      </c>
      <c r="M384">
        <f t="shared" si="40"/>
        <v>0.1809801550672363</v>
      </c>
      <c r="N384" t="s">
        <v>755</v>
      </c>
      <c r="O384" s="7">
        <v>1331.19</v>
      </c>
      <c r="P384" s="7">
        <v>2903.09</v>
      </c>
      <c r="Q384" s="12">
        <v>0.14299999999999999</v>
      </c>
      <c r="R384">
        <v>8</v>
      </c>
      <c r="S384">
        <f t="shared" si="34"/>
        <v>19903.585040000002</v>
      </c>
      <c r="T384">
        <f t="shared" si="35"/>
        <v>10649.52</v>
      </c>
      <c r="U384">
        <f t="shared" si="36"/>
        <v>9254.0650400000013</v>
      </c>
      <c r="V384">
        <f t="shared" si="37"/>
        <v>0.46494463290920784</v>
      </c>
    </row>
    <row r="385" spans="1:22" x14ac:dyDescent="0.25">
      <c r="A385" t="s">
        <v>331</v>
      </c>
      <c r="B385" s="14">
        <v>45052</v>
      </c>
      <c r="C385" s="14">
        <v>45060</v>
      </c>
      <c r="D385" s="7">
        <f t="shared" si="38"/>
        <v>8</v>
      </c>
      <c r="E385" s="5" t="str">
        <f t="shared" si="39"/>
        <v>Q2</v>
      </c>
      <c r="F385" t="s">
        <v>647</v>
      </c>
      <c r="G385" t="s">
        <v>652</v>
      </c>
      <c r="H385" t="s">
        <v>666</v>
      </c>
      <c r="I385" t="s">
        <v>706</v>
      </c>
      <c r="J385" t="s">
        <v>711</v>
      </c>
      <c r="K385" t="s">
        <v>717</v>
      </c>
      <c r="L385" t="s">
        <v>730</v>
      </c>
      <c r="M385">
        <f t="shared" si="40"/>
        <v>8.2402489177632654E-2</v>
      </c>
      <c r="N385" t="s">
        <v>1050</v>
      </c>
      <c r="O385" s="7">
        <v>291.18</v>
      </c>
      <c r="P385" s="7">
        <v>479.54</v>
      </c>
      <c r="Q385" s="12">
        <v>0.14099999999999999</v>
      </c>
      <c r="R385">
        <v>22</v>
      </c>
      <c r="S385">
        <f t="shared" si="34"/>
        <v>9062.34692</v>
      </c>
      <c r="T385">
        <f t="shared" si="35"/>
        <v>6405.96</v>
      </c>
      <c r="U385">
        <f t="shared" si="36"/>
        <v>2656.3869199999999</v>
      </c>
      <c r="V385">
        <f t="shared" si="37"/>
        <v>0.29312350801066001</v>
      </c>
    </row>
    <row r="386" spans="1:22" x14ac:dyDescent="0.25">
      <c r="A386" t="s">
        <v>116</v>
      </c>
      <c r="B386" s="14">
        <v>45304</v>
      </c>
      <c r="C386" s="14">
        <v>45313</v>
      </c>
      <c r="D386" s="7">
        <f t="shared" si="38"/>
        <v>9</v>
      </c>
      <c r="E386" s="5" t="str">
        <f t="shared" si="39"/>
        <v>Q1</v>
      </c>
      <c r="F386" t="s">
        <v>647</v>
      </c>
      <c r="G386" t="s">
        <v>654</v>
      </c>
      <c r="H386" t="s">
        <v>691</v>
      </c>
      <c r="I386" t="s">
        <v>706</v>
      </c>
      <c r="J386" t="s">
        <v>708</v>
      </c>
      <c r="K386" t="s">
        <v>713</v>
      </c>
      <c r="L386" t="s">
        <v>727</v>
      </c>
      <c r="M386">
        <f t="shared" si="40"/>
        <v>5.7508385171939305E-2</v>
      </c>
      <c r="N386" t="s">
        <v>835</v>
      </c>
      <c r="O386" s="7">
        <v>313.60000000000002</v>
      </c>
      <c r="P386" s="7">
        <v>334.28</v>
      </c>
      <c r="Q386" s="12">
        <v>0.14000000000000001</v>
      </c>
      <c r="R386">
        <v>22</v>
      </c>
      <c r="S386">
        <f t="shared" ref="S386:S449" si="41">P386*R386*(1-Q386)</f>
        <v>6324.5775999999996</v>
      </c>
      <c r="T386">
        <f t="shared" ref="T386:T449" si="42">O386*R386</f>
        <v>6899.2000000000007</v>
      </c>
      <c r="U386">
        <f t="shared" ref="U386:U449" si="43">S386-T386</f>
        <v>-574.62240000000111</v>
      </c>
      <c r="V386">
        <f t="shared" ref="V386:V449" si="44">IF(S386=0,0,U386/S386)</f>
        <v>-9.0855458868905517E-2</v>
      </c>
    </row>
    <row r="387" spans="1:22" x14ac:dyDescent="0.25">
      <c r="A387" t="s">
        <v>241</v>
      </c>
      <c r="B387" s="14">
        <v>45137</v>
      </c>
      <c r="C387" s="14">
        <v>45145</v>
      </c>
      <c r="D387" s="7">
        <f t="shared" ref="D387:D450" si="45">C387-B387</f>
        <v>8</v>
      </c>
      <c r="E387" s="5" t="str">
        <f t="shared" ref="E387:E450" si="46">IF(AND(MONTH(B387)&gt;=1,MONTH(B387)&lt;=3),"Q1", IF(AND(MONTH(B387)&gt;=4,MONTH(B387)&lt;=6), "Q2", IF(AND(MONTH(B387)&gt;=7,MONTH(B387)&lt;=9),"Q3", IF(AND(MONTH(B387)&gt;=10,MONTH(B387)&lt;=12),"Q4"))))</f>
        <v>Q3</v>
      </c>
      <c r="F387" t="s">
        <v>647</v>
      </c>
      <c r="G387" t="s">
        <v>652</v>
      </c>
      <c r="H387" t="s">
        <v>694</v>
      </c>
      <c r="I387" t="s">
        <v>702</v>
      </c>
      <c r="J387" t="s">
        <v>711</v>
      </c>
      <c r="K387" t="s">
        <v>720</v>
      </c>
      <c r="L387" t="s">
        <v>729</v>
      </c>
      <c r="M387">
        <f t="shared" ref="M387:M450" si="47">(S387/$S$634)*100</f>
        <v>0.27714454257683135</v>
      </c>
      <c r="N387" t="s">
        <v>960</v>
      </c>
      <c r="O387" s="7">
        <v>1352.44</v>
      </c>
      <c r="P387" s="7">
        <v>2698.01</v>
      </c>
      <c r="Q387" s="12">
        <v>0.13100000000000001</v>
      </c>
      <c r="R387">
        <v>13</v>
      </c>
      <c r="S387">
        <f t="shared" si="41"/>
        <v>30479.418970000002</v>
      </c>
      <c r="T387">
        <f t="shared" si="42"/>
        <v>17581.72</v>
      </c>
      <c r="U387">
        <f t="shared" si="43"/>
        <v>12897.698970000001</v>
      </c>
      <c r="V387">
        <f t="shared" si="44"/>
        <v>0.42316091992090887</v>
      </c>
    </row>
    <row r="388" spans="1:22" x14ac:dyDescent="0.25">
      <c r="A388" t="s">
        <v>155</v>
      </c>
      <c r="B388" s="14">
        <v>45048</v>
      </c>
      <c r="C388" s="14">
        <v>45064</v>
      </c>
      <c r="D388" s="7">
        <f t="shared" si="45"/>
        <v>16</v>
      </c>
      <c r="E388" s="5" t="str">
        <f t="shared" si="46"/>
        <v>Q2</v>
      </c>
      <c r="F388" t="s">
        <v>647</v>
      </c>
      <c r="G388" t="s">
        <v>654</v>
      </c>
      <c r="H388" t="s">
        <v>680</v>
      </c>
      <c r="I388" t="s">
        <v>705</v>
      </c>
      <c r="J388" t="s">
        <v>710</v>
      </c>
      <c r="K388" t="s">
        <v>723</v>
      </c>
      <c r="L388" t="s">
        <v>732</v>
      </c>
      <c r="M388">
        <f t="shared" si="47"/>
        <v>0.79475922246028297</v>
      </c>
      <c r="N388" t="s">
        <v>874</v>
      </c>
      <c r="O388" s="7">
        <v>1463.92</v>
      </c>
      <c r="P388" s="7">
        <v>2252.2399999999998</v>
      </c>
      <c r="Q388" s="12">
        <v>0.11799999999999999</v>
      </c>
      <c r="R388">
        <v>44</v>
      </c>
      <c r="S388">
        <f t="shared" si="41"/>
        <v>87404.929919999995</v>
      </c>
      <c r="T388">
        <f t="shared" si="42"/>
        <v>64412.480000000003</v>
      </c>
      <c r="U388">
        <f t="shared" si="43"/>
        <v>22992.449919999992</v>
      </c>
      <c r="V388">
        <f t="shared" si="44"/>
        <v>0.26305667130040061</v>
      </c>
    </row>
    <row r="389" spans="1:22" x14ac:dyDescent="0.25">
      <c r="A389" t="s">
        <v>231</v>
      </c>
      <c r="B389" s="14">
        <v>45280</v>
      </c>
      <c r="C389" s="14">
        <v>45305</v>
      </c>
      <c r="D389" s="7">
        <f t="shared" si="45"/>
        <v>25</v>
      </c>
      <c r="E389" s="5" t="str">
        <f t="shared" si="46"/>
        <v>Q4</v>
      </c>
      <c r="F389" t="s">
        <v>647</v>
      </c>
      <c r="G389" t="s">
        <v>654</v>
      </c>
      <c r="H389" t="s">
        <v>691</v>
      </c>
      <c r="I389" t="s">
        <v>703</v>
      </c>
      <c r="J389" t="s">
        <v>711</v>
      </c>
      <c r="K389" t="s">
        <v>716</v>
      </c>
      <c r="L389" t="s">
        <v>732</v>
      </c>
      <c r="M389">
        <f t="shared" si="47"/>
        <v>7.0369138119616412E-2</v>
      </c>
      <c r="N389" t="s">
        <v>950</v>
      </c>
      <c r="O389" s="7">
        <v>1085.6099999999999</v>
      </c>
      <c r="P389" s="7">
        <v>1246.4100000000001</v>
      </c>
      <c r="Q389" s="12">
        <v>0.113</v>
      </c>
      <c r="R389">
        <v>7</v>
      </c>
      <c r="S389">
        <f t="shared" si="41"/>
        <v>7738.9596900000006</v>
      </c>
      <c r="T389">
        <f t="shared" si="42"/>
        <v>7599.2699999999995</v>
      </c>
      <c r="U389">
        <f t="shared" si="43"/>
        <v>139.68969000000106</v>
      </c>
      <c r="V389">
        <f t="shared" si="44"/>
        <v>1.8050189637310417E-2</v>
      </c>
    </row>
    <row r="390" spans="1:22" x14ac:dyDescent="0.25">
      <c r="A390" t="s">
        <v>364</v>
      </c>
      <c r="B390" s="14">
        <v>45825</v>
      </c>
      <c r="C390" s="14">
        <v>45843</v>
      </c>
      <c r="D390" s="7">
        <f t="shared" si="45"/>
        <v>18</v>
      </c>
      <c r="E390" s="5" t="str">
        <f t="shared" si="46"/>
        <v>Q2</v>
      </c>
      <c r="F390" t="s">
        <v>647</v>
      </c>
      <c r="G390" t="s">
        <v>654</v>
      </c>
      <c r="H390" t="s">
        <v>680</v>
      </c>
      <c r="I390" t="s">
        <v>704</v>
      </c>
      <c r="J390" t="s">
        <v>708</v>
      </c>
      <c r="K390" t="s">
        <v>716</v>
      </c>
      <c r="L390" t="s">
        <v>731</v>
      </c>
      <c r="M390">
        <f t="shared" si="47"/>
        <v>0.11126796796635413</v>
      </c>
      <c r="N390" t="s">
        <v>1083</v>
      </c>
      <c r="O390" s="7">
        <v>982.93</v>
      </c>
      <c r="P390" s="7">
        <v>2299.3000000000002</v>
      </c>
      <c r="Q390" s="12">
        <v>0.113</v>
      </c>
      <c r="R390">
        <v>6</v>
      </c>
      <c r="S390">
        <f t="shared" si="41"/>
        <v>12236.874600000001</v>
      </c>
      <c r="T390">
        <f t="shared" si="42"/>
        <v>5897.58</v>
      </c>
      <c r="U390">
        <f t="shared" si="43"/>
        <v>6339.2946000000011</v>
      </c>
      <c r="V390">
        <f t="shared" si="44"/>
        <v>0.51804850562087157</v>
      </c>
    </row>
    <row r="391" spans="1:22" x14ac:dyDescent="0.25">
      <c r="A391" t="s">
        <v>451</v>
      </c>
      <c r="B391" s="14">
        <v>45650</v>
      </c>
      <c r="C391" s="14">
        <v>45670</v>
      </c>
      <c r="D391" s="7">
        <f t="shared" si="45"/>
        <v>20</v>
      </c>
      <c r="E391" s="5" t="str">
        <f t="shared" si="46"/>
        <v>Q4</v>
      </c>
      <c r="F391" t="s">
        <v>647</v>
      </c>
      <c r="G391" t="s">
        <v>654</v>
      </c>
      <c r="H391" t="s">
        <v>668</v>
      </c>
      <c r="I391" t="s">
        <v>701</v>
      </c>
      <c r="J391" t="s">
        <v>711</v>
      </c>
      <c r="K391" t="s">
        <v>726</v>
      </c>
      <c r="L391" t="s">
        <v>729</v>
      </c>
      <c r="M391">
        <f t="shared" si="47"/>
        <v>5.0433123107879951E-2</v>
      </c>
      <c r="N391" t="s">
        <v>1169</v>
      </c>
      <c r="O391" s="7">
        <v>126.15</v>
      </c>
      <c r="P391" s="7">
        <v>284.23</v>
      </c>
      <c r="Q391" s="12">
        <v>0.113</v>
      </c>
      <c r="R391">
        <v>22</v>
      </c>
      <c r="S391">
        <f t="shared" si="41"/>
        <v>5546.4642200000008</v>
      </c>
      <c r="T391">
        <f t="shared" si="42"/>
        <v>2775.3</v>
      </c>
      <c r="U391">
        <f t="shared" si="43"/>
        <v>2771.1642200000006</v>
      </c>
      <c r="V391">
        <f t="shared" si="44"/>
        <v>0.49962716968541088</v>
      </c>
    </row>
    <row r="392" spans="1:22" x14ac:dyDescent="0.25">
      <c r="A392" t="s">
        <v>264</v>
      </c>
      <c r="B392" s="14">
        <v>45912</v>
      </c>
      <c r="C392" s="14">
        <v>45930</v>
      </c>
      <c r="D392" s="7">
        <f t="shared" si="45"/>
        <v>18</v>
      </c>
      <c r="E392" s="5" t="str">
        <f t="shared" si="46"/>
        <v>Q3</v>
      </c>
      <c r="F392" t="s">
        <v>647</v>
      </c>
      <c r="G392" t="s">
        <v>652</v>
      </c>
      <c r="H392" t="s">
        <v>694</v>
      </c>
      <c r="I392" t="s">
        <v>703</v>
      </c>
      <c r="J392" t="s">
        <v>711</v>
      </c>
      <c r="K392" t="s">
        <v>721</v>
      </c>
      <c r="L392" t="s">
        <v>732</v>
      </c>
      <c r="M392">
        <f t="shared" si="47"/>
        <v>0.10741923670951631</v>
      </c>
      <c r="N392" t="s">
        <v>983</v>
      </c>
      <c r="O392" s="7">
        <v>1212.99</v>
      </c>
      <c r="P392" s="7">
        <v>1653.64</v>
      </c>
      <c r="Q392" s="12">
        <v>0.107</v>
      </c>
      <c r="R392">
        <v>8</v>
      </c>
      <c r="S392">
        <f t="shared" si="41"/>
        <v>11813.604160000001</v>
      </c>
      <c r="T392">
        <f t="shared" si="42"/>
        <v>9703.92</v>
      </c>
      <c r="U392">
        <f t="shared" si="43"/>
        <v>2109.6841600000007</v>
      </c>
      <c r="V392">
        <f t="shared" si="44"/>
        <v>0.17858090819931455</v>
      </c>
    </row>
    <row r="393" spans="1:22" x14ac:dyDescent="0.25">
      <c r="A393" t="s">
        <v>401</v>
      </c>
      <c r="B393" s="14">
        <v>45789</v>
      </c>
      <c r="C393" s="14">
        <v>45803</v>
      </c>
      <c r="D393" s="7">
        <f t="shared" si="45"/>
        <v>14</v>
      </c>
      <c r="E393" s="5" t="str">
        <f t="shared" si="46"/>
        <v>Q2</v>
      </c>
      <c r="F393" t="s">
        <v>647</v>
      </c>
      <c r="G393" t="s">
        <v>654</v>
      </c>
      <c r="H393" t="s">
        <v>696</v>
      </c>
      <c r="I393" t="s">
        <v>701</v>
      </c>
      <c r="J393" t="s">
        <v>707</v>
      </c>
      <c r="K393" t="s">
        <v>715</v>
      </c>
      <c r="L393" t="s">
        <v>728</v>
      </c>
      <c r="M393">
        <f t="shared" si="47"/>
        <v>8.7171310573317395E-2</v>
      </c>
      <c r="N393" t="s">
        <v>1119</v>
      </c>
      <c r="O393" s="7">
        <v>320.12</v>
      </c>
      <c r="P393" s="7">
        <v>594.41999999999996</v>
      </c>
      <c r="Q393" s="12">
        <v>0.104</v>
      </c>
      <c r="R393">
        <v>18</v>
      </c>
      <c r="S393">
        <f t="shared" si="41"/>
        <v>9586.8057599999993</v>
      </c>
      <c r="T393">
        <f t="shared" si="42"/>
        <v>5762.16</v>
      </c>
      <c r="U393">
        <f t="shared" si="43"/>
        <v>3824.6457599999994</v>
      </c>
      <c r="V393">
        <f t="shared" si="44"/>
        <v>0.39894891538931104</v>
      </c>
    </row>
    <row r="394" spans="1:22" x14ac:dyDescent="0.25">
      <c r="A394" t="s">
        <v>50</v>
      </c>
      <c r="B394" s="14">
        <v>45012</v>
      </c>
      <c r="C394" s="14">
        <v>45038</v>
      </c>
      <c r="D394" s="7">
        <f t="shared" si="45"/>
        <v>26</v>
      </c>
      <c r="E394" s="5" t="str">
        <f t="shared" si="46"/>
        <v>Q1</v>
      </c>
      <c r="F394" t="s">
        <v>647</v>
      </c>
      <c r="G394" t="s">
        <v>654</v>
      </c>
      <c r="H394" t="s">
        <v>680</v>
      </c>
      <c r="I394" t="s">
        <v>703</v>
      </c>
      <c r="J394" t="s">
        <v>710</v>
      </c>
      <c r="K394" t="s">
        <v>713</v>
      </c>
      <c r="L394" t="s">
        <v>728</v>
      </c>
      <c r="M394">
        <f t="shared" si="47"/>
        <v>6.0300494265858921E-2</v>
      </c>
      <c r="N394" t="s">
        <v>769</v>
      </c>
      <c r="O394" s="7">
        <v>178.53</v>
      </c>
      <c r="P394" s="7">
        <v>199.37</v>
      </c>
      <c r="Q394" s="12">
        <v>0.10100000000000001</v>
      </c>
      <c r="R394">
        <v>37</v>
      </c>
      <c r="S394">
        <f t="shared" si="41"/>
        <v>6631.6443100000006</v>
      </c>
      <c r="T394">
        <f t="shared" si="42"/>
        <v>6605.61</v>
      </c>
      <c r="U394">
        <f t="shared" si="43"/>
        <v>26.034310000000914</v>
      </c>
      <c r="V394">
        <f t="shared" si="44"/>
        <v>3.9257699573457538E-3</v>
      </c>
    </row>
    <row r="395" spans="1:22" x14ac:dyDescent="0.25">
      <c r="A395" t="s">
        <v>391</v>
      </c>
      <c r="B395" s="14">
        <v>45835</v>
      </c>
      <c r="C395" s="14">
        <v>45849</v>
      </c>
      <c r="D395" s="7">
        <f t="shared" si="45"/>
        <v>14</v>
      </c>
      <c r="E395" s="5" t="str">
        <f t="shared" si="46"/>
        <v>Q2</v>
      </c>
      <c r="F395" t="s">
        <v>647</v>
      </c>
      <c r="G395" t="s">
        <v>659</v>
      </c>
      <c r="H395" t="s">
        <v>685</v>
      </c>
      <c r="I395" t="s">
        <v>705</v>
      </c>
      <c r="J395" t="s">
        <v>710</v>
      </c>
      <c r="K395" t="s">
        <v>716</v>
      </c>
      <c r="L395" t="s">
        <v>729</v>
      </c>
      <c r="M395">
        <f t="shared" si="47"/>
        <v>0.3960250332730309</v>
      </c>
      <c r="N395" t="s">
        <v>1110</v>
      </c>
      <c r="O395" s="7">
        <v>1227.7</v>
      </c>
      <c r="P395" s="7">
        <v>2197.23</v>
      </c>
      <c r="Q395" s="12">
        <v>9.9000000000000005E-2</v>
      </c>
      <c r="R395">
        <v>22</v>
      </c>
      <c r="S395">
        <f t="shared" si="41"/>
        <v>43553.493060000001</v>
      </c>
      <c r="T395">
        <f t="shared" si="42"/>
        <v>27009.4</v>
      </c>
      <c r="U395">
        <f t="shared" si="43"/>
        <v>16544.093059999999</v>
      </c>
      <c r="V395">
        <f t="shared" si="44"/>
        <v>0.37985685871873898</v>
      </c>
    </row>
    <row r="396" spans="1:22" x14ac:dyDescent="0.25">
      <c r="A396" t="s">
        <v>113</v>
      </c>
      <c r="B396" s="14">
        <v>45860</v>
      </c>
      <c r="C396" s="14">
        <v>45887</v>
      </c>
      <c r="D396" s="7">
        <f t="shared" si="45"/>
        <v>27</v>
      </c>
      <c r="E396" s="5" t="str">
        <f t="shared" si="46"/>
        <v>Q3</v>
      </c>
      <c r="F396" t="s">
        <v>647</v>
      </c>
      <c r="G396" t="s">
        <v>659</v>
      </c>
      <c r="H396" t="s">
        <v>676</v>
      </c>
      <c r="I396" t="s">
        <v>703</v>
      </c>
      <c r="J396" t="s">
        <v>709</v>
      </c>
      <c r="K396" t="s">
        <v>724</v>
      </c>
      <c r="L396" t="s">
        <v>729</v>
      </c>
      <c r="M396">
        <f t="shared" si="47"/>
        <v>4.8451109224555512E-2</v>
      </c>
      <c r="N396" t="s">
        <v>832</v>
      </c>
      <c r="O396" s="7">
        <v>547.32000000000005</v>
      </c>
      <c r="P396" s="7">
        <v>419.17</v>
      </c>
      <c r="Q396" s="12">
        <v>9.1999999999999998E-2</v>
      </c>
      <c r="R396">
        <v>14</v>
      </c>
      <c r="S396">
        <f t="shared" si="41"/>
        <v>5328.4890400000004</v>
      </c>
      <c r="T396">
        <f t="shared" si="42"/>
        <v>7662.4800000000005</v>
      </c>
      <c r="U396">
        <f t="shared" si="43"/>
        <v>-2333.9909600000001</v>
      </c>
      <c r="V396">
        <f t="shared" si="44"/>
        <v>-0.43802116181137907</v>
      </c>
    </row>
    <row r="397" spans="1:22" x14ac:dyDescent="0.25">
      <c r="A397" t="s">
        <v>507</v>
      </c>
      <c r="B397" s="14">
        <v>45861</v>
      </c>
      <c r="C397" s="14">
        <v>45888</v>
      </c>
      <c r="D397" s="7">
        <f t="shared" si="45"/>
        <v>27</v>
      </c>
      <c r="E397" s="5" t="str">
        <f t="shared" si="46"/>
        <v>Q3</v>
      </c>
      <c r="F397" t="s">
        <v>647</v>
      </c>
      <c r="G397" t="s">
        <v>652</v>
      </c>
      <c r="H397" t="s">
        <v>694</v>
      </c>
      <c r="I397" t="s">
        <v>704</v>
      </c>
      <c r="J397" t="s">
        <v>707</v>
      </c>
      <c r="K397" t="s">
        <v>717</v>
      </c>
      <c r="L397" t="s">
        <v>733</v>
      </c>
      <c r="M397">
        <f t="shared" si="47"/>
        <v>6.8264070622925013E-2</v>
      </c>
      <c r="N397" t="s">
        <v>1225</v>
      </c>
      <c r="O397" s="7">
        <v>896.09</v>
      </c>
      <c r="P397" s="7">
        <v>744.27</v>
      </c>
      <c r="Q397" s="12">
        <v>8.3000000000000004E-2</v>
      </c>
      <c r="R397">
        <v>11</v>
      </c>
      <c r="S397">
        <f t="shared" si="41"/>
        <v>7507.4514899999995</v>
      </c>
      <c r="T397">
        <f t="shared" si="42"/>
        <v>9856.99</v>
      </c>
      <c r="U397">
        <f t="shared" si="43"/>
        <v>-2349.5385100000003</v>
      </c>
      <c r="V397">
        <f t="shared" si="44"/>
        <v>-0.31296086469950679</v>
      </c>
    </row>
    <row r="398" spans="1:22" x14ac:dyDescent="0.25">
      <c r="A398" t="s">
        <v>495</v>
      </c>
      <c r="B398" s="14">
        <v>45293</v>
      </c>
      <c r="C398" s="14">
        <v>45306</v>
      </c>
      <c r="D398" s="7">
        <f t="shared" si="45"/>
        <v>13</v>
      </c>
      <c r="E398" s="5" t="str">
        <f t="shared" si="46"/>
        <v>Q1</v>
      </c>
      <c r="F398" t="s">
        <v>647</v>
      </c>
      <c r="G398" t="s">
        <v>652</v>
      </c>
      <c r="H398" t="s">
        <v>694</v>
      </c>
      <c r="I398" t="s">
        <v>705</v>
      </c>
      <c r="J398" t="s">
        <v>711</v>
      </c>
      <c r="K398" t="s">
        <v>715</v>
      </c>
      <c r="L398" t="s">
        <v>729</v>
      </c>
      <c r="M398">
        <f t="shared" si="47"/>
        <v>0.36815819932236821</v>
      </c>
      <c r="N398" t="s">
        <v>1213</v>
      </c>
      <c r="O398" s="7">
        <v>1219.06</v>
      </c>
      <c r="P398" s="7">
        <v>2738.69</v>
      </c>
      <c r="Q398" s="12">
        <v>7.5999999999999998E-2</v>
      </c>
      <c r="R398">
        <v>16</v>
      </c>
      <c r="S398">
        <f t="shared" si="41"/>
        <v>40488.792960000006</v>
      </c>
      <c r="T398">
        <f t="shared" si="42"/>
        <v>19504.96</v>
      </c>
      <c r="U398">
        <f t="shared" si="43"/>
        <v>20983.832960000007</v>
      </c>
      <c r="V398">
        <f t="shared" si="44"/>
        <v>0.51826274447673737</v>
      </c>
    </row>
    <row r="399" spans="1:22" x14ac:dyDescent="0.25">
      <c r="A399" t="s">
        <v>359</v>
      </c>
      <c r="B399" s="14">
        <v>45486</v>
      </c>
      <c r="C399" s="15">
        <v>45485</v>
      </c>
      <c r="D399" s="7">
        <f t="shared" si="45"/>
        <v>-1</v>
      </c>
      <c r="E399" s="5" t="str">
        <f t="shared" si="46"/>
        <v>Q3</v>
      </c>
      <c r="F399" t="s">
        <v>647</v>
      </c>
      <c r="G399" t="s">
        <v>652</v>
      </c>
      <c r="H399" t="s">
        <v>694</v>
      </c>
      <c r="I399" t="s">
        <v>705</v>
      </c>
      <c r="J399" t="s">
        <v>710</v>
      </c>
      <c r="K399" t="s">
        <v>721</v>
      </c>
      <c r="L399" t="s">
        <v>729</v>
      </c>
      <c r="M399">
        <f t="shared" si="47"/>
        <v>2.8871180909973218E-2</v>
      </c>
      <c r="N399" t="s">
        <v>1078</v>
      </c>
      <c r="O399" s="7">
        <v>105.13</v>
      </c>
      <c r="P399" s="7">
        <v>244.13</v>
      </c>
      <c r="Q399" s="12">
        <v>7.0999999999999994E-2</v>
      </c>
      <c r="R399">
        <v>14</v>
      </c>
      <c r="S399">
        <f t="shared" si="41"/>
        <v>3175.1547799999998</v>
      </c>
      <c r="T399">
        <f t="shared" si="42"/>
        <v>1471.82</v>
      </c>
      <c r="U399">
        <f t="shared" si="43"/>
        <v>1703.3347799999999</v>
      </c>
      <c r="V399">
        <f t="shared" si="44"/>
        <v>0.53645724319618837</v>
      </c>
    </row>
    <row r="400" spans="1:22" x14ac:dyDescent="0.25">
      <c r="A400" t="s">
        <v>104</v>
      </c>
      <c r="B400" s="14">
        <v>45106</v>
      </c>
      <c r="C400" s="14">
        <v>45109</v>
      </c>
      <c r="D400" s="7">
        <f t="shared" si="45"/>
        <v>3</v>
      </c>
      <c r="E400" s="5" t="str">
        <f t="shared" si="46"/>
        <v>Q2</v>
      </c>
      <c r="F400" t="s">
        <v>647</v>
      </c>
      <c r="G400" t="s">
        <v>652</v>
      </c>
      <c r="H400" t="s">
        <v>694</v>
      </c>
      <c r="I400" t="s">
        <v>702</v>
      </c>
      <c r="J400" t="s">
        <v>711</v>
      </c>
      <c r="K400" t="s">
        <v>721</v>
      </c>
      <c r="L400" t="s">
        <v>732</v>
      </c>
      <c r="M400">
        <f t="shared" si="47"/>
        <v>5.67788919139443E-3</v>
      </c>
      <c r="N400" t="s">
        <v>823</v>
      </c>
      <c r="O400" s="7">
        <v>55.65</v>
      </c>
      <c r="P400" s="7">
        <v>83.57</v>
      </c>
      <c r="Q400" s="12">
        <v>6.6000000000000003E-2</v>
      </c>
      <c r="R400">
        <v>8</v>
      </c>
      <c r="S400">
        <f t="shared" si="41"/>
        <v>624.43503999999996</v>
      </c>
      <c r="T400">
        <f t="shared" si="42"/>
        <v>445.2</v>
      </c>
      <c r="U400">
        <f t="shared" si="43"/>
        <v>179.23503999999997</v>
      </c>
      <c r="V400">
        <f t="shared" si="44"/>
        <v>0.2870355257449998</v>
      </c>
    </row>
    <row r="401" spans="1:22" x14ac:dyDescent="0.25">
      <c r="A401" t="s">
        <v>587</v>
      </c>
      <c r="B401" s="14">
        <v>45740</v>
      </c>
      <c r="C401" s="14">
        <v>45751</v>
      </c>
      <c r="D401" s="7">
        <f t="shared" si="45"/>
        <v>11</v>
      </c>
      <c r="E401" s="5" t="str">
        <f t="shared" si="46"/>
        <v>Q1</v>
      </c>
      <c r="F401" t="s">
        <v>647</v>
      </c>
      <c r="G401" t="s">
        <v>654</v>
      </c>
      <c r="H401" t="s">
        <v>691</v>
      </c>
      <c r="I401" t="s">
        <v>702</v>
      </c>
      <c r="J401" t="s">
        <v>709</v>
      </c>
      <c r="K401" t="s">
        <v>713</v>
      </c>
      <c r="L401" t="s">
        <v>730</v>
      </c>
      <c r="M401">
        <f t="shared" si="47"/>
        <v>7.6471289046315888E-3</v>
      </c>
      <c r="N401" t="s">
        <v>1304</v>
      </c>
      <c r="O401" s="7">
        <v>23.83</v>
      </c>
      <c r="P401" s="7">
        <v>47.29</v>
      </c>
      <c r="Q401" s="12">
        <v>6.4000000000000001E-2</v>
      </c>
      <c r="R401">
        <v>19</v>
      </c>
      <c r="S401">
        <f t="shared" si="41"/>
        <v>841.00536</v>
      </c>
      <c r="T401">
        <f t="shared" si="42"/>
        <v>452.77</v>
      </c>
      <c r="U401">
        <f t="shared" si="43"/>
        <v>388.23536000000001</v>
      </c>
      <c r="V401">
        <f t="shared" si="44"/>
        <v>0.46163244429262618</v>
      </c>
    </row>
    <row r="402" spans="1:22" x14ac:dyDescent="0.25">
      <c r="A402" t="s">
        <v>545</v>
      </c>
      <c r="B402" s="14">
        <v>45316</v>
      </c>
      <c r="C402" s="14">
        <v>45330</v>
      </c>
      <c r="D402" s="7">
        <f t="shared" si="45"/>
        <v>14</v>
      </c>
      <c r="E402" s="5" t="str">
        <f t="shared" si="46"/>
        <v>Q1</v>
      </c>
      <c r="F402" t="s">
        <v>647</v>
      </c>
      <c r="G402" t="s">
        <v>652</v>
      </c>
      <c r="H402" t="s">
        <v>666</v>
      </c>
      <c r="I402" t="s">
        <v>704</v>
      </c>
      <c r="J402" t="s">
        <v>708</v>
      </c>
      <c r="K402" t="s">
        <v>714</v>
      </c>
      <c r="L402" t="s">
        <v>729</v>
      </c>
      <c r="M402">
        <f t="shared" si="47"/>
        <v>8.4218527414103961E-2</v>
      </c>
      <c r="N402" t="s">
        <v>1263</v>
      </c>
      <c r="O402" s="7">
        <v>937.16</v>
      </c>
      <c r="P402" s="7">
        <v>1069.77</v>
      </c>
      <c r="Q402" s="12">
        <v>3.7999999999999999E-2</v>
      </c>
      <c r="R402">
        <v>9</v>
      </c>
      <c r="S402">
        <f t="shared" si="41"/>
        <v>9262.0686600000008</v>
      </c>
      <c r="T402">
        <f t="shared" si="42"/>
        <v>8434.44</v>
      </c>
      <c r="U402">
        <f t="shared" si="43"/>
        <v>827.62866000000031</v>
      </c>
      <c r="V402">
        <f t="shared" si="44"/>
        <v>8.9356783066645962E-2</v>
      </c>
    </row>
    <row r="403" spans="1:22" x14ac:dyDescent="0.25">
      <c r="A403" t="s">
        <v>66</v>
      </c>
      <c r="B403" s="14">
        <v>45582</v>
      </c>
      <c r="C403" s="14">
        <v>45602</v>
      </c>
      <c r="D403" s="7">
        <f t="shared" si="45"/>
        <v>20</v>
      </c>
      <c r="E403" s="5" t="str">
        <f t="shared" si="46"/>
        <v>Q4</v>
      </c>
      <c r="F403" t="s">
        <v>647</v>
      </c>
      <c r="G403" t="s">
        <v>654</v>
      </c>
      <c r="H403" t="s">
        <v>668</v>
      </c>
      <c r="I403" t="s">
        <v>706</v>
      </c>
      <c r="J403" t="s">
        <v>710</v>
      </c>
      <c r="K403" t="s">
        <v>719</v>
      </c>
      <c r="L403" t="s">
        <v>732</v>
      </c>
      <c r="M403">
        <f t="shared" si="47"/>
        <v>5.4514497820222999E-3</v>
      </c>
      <c r="N403" t="s">
        <v>785</v>
      </c>
      <c r="O403" s="7">
        <v>72.94</v>
      </c>
      <c r="P403" s="7">
        <v>106.3</v>
      </c>
      <c r="Q403" s="12">
        <v>0.29499999999999998</v>
      </c>
      <c r="R403">
        <v>8</v>
      </c>
      <c r="S403">
        <f t="shared" si="41"/>
        <v>599.53200000000004</v>
      </c>
      <c r="T403">
        <f t="shared" si="42"/>
        <v>583.52</v>
      </c>
      <c r="U403">
        <f t="shared" si="43"/>
        <v>16.012000000000057</v>
      </c>
      <c r="V403">
        <f t="shared" si="44"/>
        <v>2.6707498515508857E-2</v>
      </c>
    </row>
    <row r="404" spans="1:22" x14ac:dyDescent="0.25">
      <c r="A404" t="s">
        <v>154</v>
      </c>
      <c r="B404" s="14">
        <v>45336</v>
      </c>
      <c r="C404" s="14">
        <v>45336</v>
      </c>
      <c r="D404" s="7">
        <f t="shared" si="45"/>
        <v>0</v>
      </c>
      <c r="E404" s="5" t="str">
        <f t="shared" si="46"/>
        <v>Q1</v>
      </c>
      <c r="F404" t="s">
        <v>647</v>
      </c>
      <c r="G404" t="s">
        <v>659</v>
      </c>
      <c r="H404" t="s">
        <v>699</v>
      </c>
      <c r="I404" t="s">
        <v>701</v>
      </c>
      <c r="J404" t="s">
        <v>709</v>
      </c>
      <c r="K404" t="s">
        <v>716</v>
      </c>
      <c r="L404" t="s">
        <v>733</v>
      </c>
      <c r="M404">
        <f t="shared" si="47"/>
        <v>1.3156894174309319E-2</v>
      </c>
      <c r="N404" t="s">
        <v>873</v>
      </c>
      <c r="O404" s="7">
        <v>65.930000000000007</v>
      </c>
      <c r="P404" s="7">
        <v>84.9</v>
      </c>
      <c r="Q404" s="12">
        <v>0.25900000000000001</v>
      </c>
      <c r="R404">
        <v>23</v>
      </c>
      <c r="S404">
        <f t="shared" si="41"/>
        <v>1446.9507000000001</v>
      </c>
      <c r="T404">
        <f t="shared" si="42"/>
        <v>1516.39</v>
      </c>
      <c r="U404">
        <f t="shared" si="43"/>
        <v>-69.439300000000003</v>
      </c>
      <c r="V404">
        <f t="shared" si="44"/>
        <v>-4.7990093926489688E-2</v>
      </c>
    </row>
    <row r="405" spans="1:22" x14ac:dyDescent="0.25">
      <c r="A405" t="s">
        <v>78</v>
      </c>
      <c r="B405" s="14">
        <v>45598</v>
      </c>
      <c r="C405" s="14">
        <v>45614</v>
      </c>
      <c r="D405" s="7">
        <f t="shared" si="45"/>
        <v>16</v>
      </c>
      <c r="E405" s="5" t="str">
        <f t="shared" si="46"/>
        <v>Q4</v>
      </c>
      <c r="F405" t="s">
        <v>647</v>
      </c>
      <c r="G405" t="s">
        <v>654</v>
      </c>
      <c r="H405" t="s">
        <v>691</v>
      </c>
      <c r="I405" t="s">
        <v>705</v>
      </c>
      <c r="J405" t="s">
        <v>707</v>
      </c>
      <c r="K405" t="s">
        <v>719</v>
      </c>
      <c r="L405" t="s">
        <v>732</v>
      </c>
      <c r="M405">
        <f t="shared" si="47"/>
        <v>0.66073880076171865</v>
      </c>
      <c r="N405" t="s">
        <v>797</v>
      </c>
      <c r="O405" s="7">
        <v>1233.58</v>
      </c>
      <c r="P405" s="7">
        <v>1912.51</v>
      </c>
      <c r="Q405" s="12">
        <v>0.255</v>
      </c>
      <c r="R405">
        <v>51</v>
      </c>
      <c r="S405">
        <f t="shared" si="41"/>
        <v>72665.817450000002</v>
      </c>
      <c r="T405">
        <f t="shared" si="42"/>
        <v>62912.579999999994</v>
      </c>
      <c r="U405">
        <f t="shared" si="43"/>
        <v>9753.2374500000078</v>
      </c>
      <c r="V405">
        <f t="shared" si="44"/>
        <v>0.134220432553601</v>
      </c>
    </row>
    <row r="406" spans="1:22" x14ac:dyDescent="0.25">
      <c r="A406" t="s">
        <v>26</v>
      </c>
      <c r="B406" s="14">
        <v>45660</v>
      </c>
      <c r="C406" s="14">
        <v>45680</v>
      </c>
      <c r="D406" s="7">
        <f t="shared" si="45"/>
        <v>20</v>
      </c>
      <c r="E406" s="5" t="str">
        <f t="shared" si="46"/>
        <v>Q1</v>
      </c>
      <c r="F406" t="s">
        <v>647</v>
      </c>
      <c r="G406" t="s">
        <v>652</v>
      </c>
      <c r="H406" t="s">
        <v>666</v>
      </c>
      <c r="I406" t="s">
        <v>701</v>
      </c>
      <c r="J406" t="s">
        <v>708</v>
      </c>
      <c r="K406" t="s">
        <v>721</v>
      </c>
      <c r="L406" t="s">
        <v>730</v>
      </c>
      <c r="M406">
        <f t="shared" si="47"/>
        <v>9.4297773157982143E-2</v>
      </c>
      <c r="N406" t="s">
        <v>745</v>
      </c>
      <c r="O406" s="7">
        <v>908.6</v>
      </c>
      <c r="P406" s="7">
        <v>691.37</v>
      </c>
      <c r="Q406" s="12">
        <v>0.25</v>
      </c>
      <c r="R406">
        <v>20</v>
      </c>
      <c r="S406">
        <f t="shared" si="41"/>
        <v>10370.549999999999</v>
      </c>
      <c r="T406">
        <f t="shared" si="42"/>
        <v>18172</v>
      </c>
      <c r="U406">
        <f t="shared" si="43"/>
        <v>-7801.4500000000007</v>
      </c>
      <c r="V406">
        <f t="shared" si="44"/>
        <v>-0.75226964818645115</v>
      </c>
    </row>
    <row r="407" spans="1:22" x14ac:dyDescent="0.25">
      <c r="A407" t="s">
        <v>433</v>
      </c>
      <c r="B407" s="14">
        <v>45730</v>
      </c>
      <c r="C407" s="14">
        <v>45755</v>
      </c>
      <c r="D407" s="7">
        <f t="shared" si="45"/>
        <v>25</v>
      </c>
      <c r="E407" s="5" t="str">
        <f t="shared" si="46"/>
        <v>Q1</v>
      </c>
      <c r="F407" t="s">
        <v>647</v>
      </c>
      <c r="G407" t="s">
        <v>659</v>
      </c>
      <c r="H407" t="s">
        <v>1430</v>
      </c>
      <c r="I407" t="s">
        <v>701</v>
      </c>
      <c r="J407" t="s">
        <v>707</v>
      </c>
      <c r="K407" t="s">
        <v>726</v>
      </c>
      <c r="L407" t="s">
        <v>728</v>
      </c>
      <c r="M407">
        <f t="shared" si="47"/>
        <v>6.7417818998902002E-3</v>
      </c>
      <c r="N407" t="s">
        <v>1151</v>
      </c>
      <c r="O407" s="7">
        <v>80.59</v>
      </c>
      <c r="P407" s="7">
        <v>157.82</v>
      </c>
      <c r="Q407" s="12">
        <v>0.217</v>
      </c>
      <c r="R407">
        <v>6</v>
      </c>
      <c r="S407">
        <f t="shared" si="41"/>
        <v>741.43835999999999</v>
      </c>
      <c r="T407">
        <f t="shared" si="42"/>
        <v>483.54</v>
      </c>
      <c r="U407">
        <f t="shared" si="43"/>
        <v>257.89835999999997</v>
      </c>
      <c r="V407">
        <f t="shared" si="44"/>
        <v>0.34783519967863541</v>
      </c>
    </row>
    <row r="408" spans="1:22" x14ac:dyDescent="0.25">
      <c r="A408" t="s">
        <v>449</v>
      </c>
      <c r="B408" s="14">
        <v>45542</v>
      </c>
      <c r="C408" s="14">
        <v>45553</v>
      </c>
      <c r="D408" s="7">
        <f t="shared" si="45"/>
        <v>11</v>
      </c>
      <c r="E408" s="5" t="str">
        <f t="shared" si="46"/>
        <v>Q3</v>
      </c>
      <c r="F408" t="s">
        <v>647</v>
      </c>
      <c r="G408" t="s">
        <v>659</v>
      </c>
      <c r="H408" t="s">
        <v>699</v>
      </c>
      <c r="I408" t="s">
        <v>704</v>
      </c>
      <c r="J408" t="s">
        <v>709</v>
      </c>
      <c r="K408" t="s">
        <v>719</v>
      </c>
      <c r="L408" t="s">
        <v>729</v>
      </c>
      <c r="M408">
        <f t="shared" si="47"/>
        <v>1.7731070374003063E-2</v>
      </c>
      <c r="N408" t="s">
        <v>1167</v>
      </c>
      <c r="O408" s="7">
        <v>181.74</v>
      </c>
      <c r="P408" s="7">
        <v>190.84</v>
      </c>
      <c r="Q408" s="12">
        <v>0.214</v>
      </c>
      <c r="R408">
        <v>13</v>
      </c>
      <c r="S408">
        <f t="shared" si="41"/>
        <v>1950.0031200000001</v>
      </c>
      <c r="T408">
        <f t="shared" si="42"/>
        <v>2362.62</v>
      </c>
      <c r="U408">
        <f t="shared" si="43"/>
        <v>-412.61687999999981</v>
      </c>
      <c r="V408">
        <f t="shared" si="44"/>
        <v>-0.21159806144310159</v>
      </c>
    </row>
    <row r="409" spans="1:22" x14ac:dyDescent="0.25">
      <c r="A409" t="s">
        <v>525</v>
      </c>
      <c r="B409" s="14">
        <v>45056</v>
      </c>
      <c r="C409" s="14">
        <v>45060</v>
      </c>
      <c r="D409" s="7">
        <f t="shared" si="45"/>
        <v>4</v>
      </c>
      <c r="E409" s="5" t="str">
        <f t="shared" si="46"/>
        <v>Q2</v>
      </c>
      <c r="F409" t="s">
        <v>647</v>
      </c>
      <c r="G409" t="s">
        <v>654</v>
      </c>
      <c r="H409" t="s">
        <v>680</v>
      </c>
      <c r="I409" t="s">
        <v>703</v>
      </c>
      <c r="J409" t="s">
        <v>709</v>
      </c>
      <c r="K409" t="s">
        <v>712</v>
      </c>
      <c r="L409" t="s">
        <v>732</v>
      </c>
      <c r="M409">
        <f t="shared" si="47"/>
        <v>8.3947691657835055E-2</v>
      </c>
      <c r="N409" t="s">
        <v>1243</v>
      </c>
      <c r="O409" s="7">
        <v>622.6</v>
      </c>
      <c r="P409" s="7">
        <v>833.69</v>
      </c>
      <c r="Q409" s="12">
        <v>0.20899999999999999</v>
      </c>
      <c r="R409">
        <v>14</v>
      </c>
      <c r="S409">
        <f t="shared" si="41"/>
        <v>9232.2830599999998</v>
      </c>
      <c r="T409">
        <f t="shared" si="42"/>
        <v>8716.4</v>
      </c>
      <c r="U409">
        <f t="shared" si="43"/>
        <v>515.88306000000011</v>
      </c>
      <c r="V409">
        <f t="shared" si="44"/>
        <v>5.5878167582959715E-2</v>
      </c>
    </row>
    <row r="410" spans="1:22" x14ac:dyDescent="0.25">
      <c r="A410" t="s">
        <v>423</v>
      </c>
      <c r="B410" s="14">
        <v>45724</v>
      </c>
      <c r="C410" s="14">
        <v>45731</v>
      </c>
      <c r="D410" s="7">
        <f t="shared" si="45"/>
        <v>7</v>
      </c>
      <c r="E410" s="5" t="str">
        <f t="shared" si="46"/>
        <v>Q1</v>
      </c>
      <c r="F410" t="s">
        <v>647</v>
      </c>
      <c r="G410" t="s">
        <v>654</v>
      </c>
      <c r="H410" t="s">
        <v>668</v>
      </c>
      <c r="I410" t="s">
        <v>701</v>
      </c>
      <c r="J410" t="s">
        <v>711</v>
      </c>
      <c r="K410" t="s">
        <v>723</v>
      </c>
      <c r="L410" t="s">
        <v>731</v>
      </c>
      <c r="M410">
        <f t="shared" si="47"/>
        <v>4.2551901712433483E-2</v>
      </c>
      <c r="N410" t="s">
        <v>1141</v>
      </c>
      <c r="O410" s="7">
        <v>475.66</v>
      </c>
      <c r="P410" s="7">
        <v>529.14</v>
      </c>
      <c r="Q410" s="12">
        <v>0.19600000000000001</v>
      </c>
      <c r="R410">
        <v>11</v>
      </c>
      <c r="S410">
        <f t="shared" si="41"/>
        <v>4679.7141600000004</v>
      </c>
      <c r="T410">
        <f t="shared" si="42"/>
        <v>5232.26</v>
      </c>
      <c r="U410">
        <f t="shared" si="43"/>
        <v>-552.54583999999977</v>
      </c>
      <c r="V410">
        <f t="shared" si="44"/>
        <v>-0.11807256193613323</v>
      </c>
    </row>
    <row r="411" spans="1:22" x14ac:dyDescent="0.25">
      <c r="A411" t="s">
        <v>197</v>
      </c>
      <c r="B411" s="14">
        <v>45690</v>
      </c>
      <c r="C411" s="14">
        <v>45720</v>
      </c>
      <c r="D411" s="7">
        <f t="shared" si="45"/>
        <v>30</v>
      </c>
      <c r="E411" s="5" t="str">
        <f t="shared" si="46"/>
        <v>Q1</v>
      </c>
      <c r="F411" t="s">
        <v>647</v>
      </c>
      <c r="G411" t="s">
        <v>652</v>
      </c>
      <c r="H411" t="s">
        <v>666</v>
      </c>
      <c r="I411" t="s">
        <v>702</v>
      </c>
      <c r="J411" t="s">
        <v>707</v>
      </c>
      <c r="K411" t="s">
        <v>716</v>
      </c>
      <c r="L411" t="s">
        <v>733</v>
      </c>
      <c r="M411">
        <f t="shared" si="47"/>
        <v>6.9919008885380704E-2</v>
      </c>
      <c r="N411" t="s">
        <v>916</v>
      </c>
      <c r="O411" s="7">
        <v>766.59</v>
      </c>
      <c r="P411" s="7">
        <v>1912.8</v>
      </c>
      <c r="Q411" s="12">
        <v>0.19600000000000001</v>
      </c>
      <c r="R411">
        <v>5</v>
      </c>
      <c r="S411">
        <f t="shared" si="41"/>
        <v>7689.4560000000001</v>
      </c>
      <c r="T411">
        <f t="shared" si="42"/>
        <v>3832.9500000000003</v>
      </c>
      <c r="U411">
        <f t="shared" si="43"/>
        <v>3856.5059999999999</v>
      </c>
      <c r="V411">
        <f t="shared" si="44"/>
        <v>0.50153170783472845</v>
      </c>
    </row>
    <row r="412" spans="1:22" x14ac:dyDescent="0.25">
      <c r="A412" t="s">
        <v>248</v>
      </c>
      <c r="B412" s="14">
        <v>45540</v>
      </c>
      <c r="C412" s="14">
        <v>45560</v>
      </c>
      <c r="D412" s="7">
        <f t="shared" si="45"/>
        <v>20</v>
      </c>
      <c r="E412" s="5" t="str">
        <f t="shared" si="46"/>
        <v>Q3</v>
      </c>
      <c r="F412" t="s">
        <v>647</v>
      </c>
      <c r="G412" t="s">
        <v>652</v>
      </c>
      <c r="H412" t="s">
        <v>666</v>
      </c>
      <c r="I412" t="s">
        <v>706</v>
      </c>
      <c r="J412" t="s">
        <v>708</v>
      </c>
      <c r="K412" t="s">
        <v>726</v>
      </c>
      <c r="L412" t="s">
        <v>732</v>
      </c>
      <c r="M412">
        <f t="shared" si="47"/>
        <v>4.8018005518709203E-2</v>
      </c>
      <c r="N412" t="s">
        <v>967</v>
      </c>
      <c r="O412" s="7">
        <v>195.54</v>
      </c>
      <c r="P412" s="7">
        <v>405.97</v>
      </c>
      <c r="Q412" s="12">
        <v>0.187</v>
      </c>
      <c r="R412">
        <v>16</v>
      </c>
      <c r="S412">
        <f t="shared" si="41"/>
        <v>5280.8577599999999</v>
      </c>
      <c r="T412">
        <f t="shared" si="42"/>
        <v>3128.64</v>
      </c>
      <c r="U412">
        <f t="shared" si="43"/>
        <v>2152.21776</v>
      </c>
      <c r="V412">
        <f t="shared" si="44"/>
        <v>0.40755079152141377</v>
      </c>
    </row>
    <row r="413" spans="1:22" x14ac:dyDescent="0.25">
      <c r="A413" t="s">
        <v>32</v>
      </c>
      <c r="B413" s="14">
        <v>45908</v>
      </c>
      <c r="C413" s="14">
        <v>45916</v>
      </c>
      <c r="D413" s="7">
        <f t="shared" si="45"/>
        <v>8</v>
      </c>
      <c r="E413" s="5" t="str">
        <f t="shared" si="46"/>
        <v>Q3</v>
      </c>
      <c r="F413" t="s">
        <v>647</v>
      </c>
      <c r="G413" t="s">
        <v>652</v>
      </c>
      <c r="H413" t="s">
        <v>666</v>
      </c>
      <c r="I413" t="s">
        <v>701</v>
      </c>
      <c r="J413" t="s">
        <v>709</v>
      </c>
      <c r="K413" t="s">
        <v>712</v>
      </c>
      <c r="L413" t="s">
        <v>730</v>
      </c>
      <c r="M413">
        <f t="shared" si="47"/>
        <v>0.3215884638597184</v>
      </c>
      <c r="N413" t="s">
        <v>751</v>
      </c>
      <c r="O413" s="7">
        <v>1225.57</v>
      </c>
      <c r="P413" s="7">
        <v>2705.57</v>
      </c>
      <c r="Q413" s="12">
        <v>0.183</v>
      </c>
      <c r="R413">
        <v>16</v>
      </c>
      <c r="S413">
        <f t="shared" si="41"/>
        <v>35367.211040000002</v>
      </c>
      <c r="T413">
        <f t="shared" si="42"/>
        <v>19609.12</v>
      </c>
      <c r="U413">
        <f t="shared" si="43"/>
        <v>15758.091040000003</v>
      </c>
      <c r="V413">
        <f t="shared" si="44"/>
        <v>0.44555650775453404</v>
      </c>
    </row>
    <row r="414" spans="1:22" x14ac:dyDescent="0.25">
      <c r="A414" t="s">
        <v>144</v>
      </c>
      <c r="B414" s="14">
        <v>45716</v>
      </c>
      <c r="C414" s="14">
        <v>45726</v>
      </c>
      <c r="D414" s="7">
        <f t="shared" si="45"/>
        <v>10</v>
      </c>
      <c r="E414" s="5" t="str">
        <f t="shared" si="46"/>
        <v>Q1</v>
      </c>
      <c r="F414" t="s">
        <v>647</v>
      </c>
      <c r="G414" t="s">
        <v>652</v>
      </c>
      <c r="H414" t="s">
        <v>666</v>
      </c>
      <c r="I414" t="s">
        <v>702</v>
      </c>
      <c r="J414" t="s">
        <v>708</v>
      </c>
      <c r="K414" t="s">
        <v>725</v>
      </c>
      <c r="L414" t="s">
        <v>731</v>
      </c>
      <c r="M414">
        <f t="shared" si="47"/>
        <v>2.4203165125432561E-3</v>
      </c>
      <c r="N414" t="s">
        <v>1363</v>
      </c>
      <c r="O414" s="7">
        <v>51.86</v>
      </c>
      <c r="P414" s="7">
        <v>45.98</v>
      </c>
      <c r="Q414" s="12">
        <v>0.17299999999999999</v>
      </c>
      <c r="R414">
        <v>7</v>
      </c>
      <c r="S414">
        <f t="shared" si="41"/>
        <v>266.17821999999995</v>
      </c>
      <c r="T414">
        <f t="shared" si="42"/>
        <v>363.02</v>
      </c>
      <c r="U414">
        <f t="shared" si="43"/>
        <v>-96.841780000000028</v>
      </c>
      <c r="V414">
        <f t="shared" si="44"/>
        <v>-0.3638230806412337</v>
      </c>
    </row>
    <row r="415" spans="1:22" x14ac:dyDescent="0.25">
      <c r="A415" t="s">
        <v>465</v>
      </c>
      <c r="B415" s="14">
        <v>45129</v>
      </c>
      <c r="C415" s="15">
        <v>45128</v>
      </c>
      <c r="D415" s="7">
        <f t="shared" si="45"/>
        <v>-1</v>
      </c>
      <c r="E415" s="5" t="str">
        <f t="shared" si="46"/>
        <v>Q3</v>
      </c>
      <c r="F415" t="s">
        <v>647</v>
      </c>
      <c r="G415" t="s">
        <v>654</v>
      </c>
      <c r="H415" t="s">
        <v>680</v>
      </c>
      <c r="I415" t="s">
        <v>705</v>
      </c>
      <c r="J415" t="s">
        <v>711</v>
      </c>
      <c r="K415" t="s">
        <v>718</v>
      </c>
      <c r="L415" t="s">
        <v>728</v>
      </c>
      <c r="M415">
        <f t="shared" si="47"/>
        <v>0.11332091301918427</v>
      </c>
      <c r="N415" t="s">
        <v>1183</v>
      </c>
      <c r="O415" s="7">
        <v>946.99</v>
      </c>
      <c r="P415" s="7">
        <v>2132.19</v>
      </c>
      <c r="Q415" s="12">
        <v>0.16500000000000001</v>
      </c>
      <c r="R415">
        <v>7</v>
      </c>
      <c r="S415">
        <f t="shared" si="41"/>
        <v>12462.65055</v>
      </c>
      <c r="T415">
        <f t="shared" si="42"/>
        <v>6628.93</v>
      </c>
      <c r="U415">
        <f t="shared" si="43"/>
        <v>5833.72055</v>
      </c>
      <c r="V415">
        <f t="shared" si="44"/>
        <v>0.46809629513362228</v>
      </c>
    </row>
    <row r="416" spans="1:22" x14ac:dyDescent="0.25">
      <c r="A416" t="s">
        <v>175</v>
      </c>
      <c r="B416" s="14">
        <v>44977</v>
      </c>
      <c r="C416" s="14">
        <v>44989</v>
      </c>
      <c r="D416" s="7">
        <f t="shared" si="45"/>
        <v>12</v>
      </c>
      <c r="E416" s="5" t="str">
        <f t="shared" si="46"/>
        <v>Q1</v>
      </c>
      <c r="F416" t="s">
        <v>647</v>
      </c>
      <c r="G416" t="s">
        <v>654</v>
      </c>
      <c r="H416" t="s">
        <v>680</v>
      </c>
      <c r="I416" t="s">
        <v>704</v>
      </c>
      <c r="J416" t="s">
        <v>708</v>
      </c>
      <c r="K416" t="s">
        <v>724</v>
      </c>
      <c r="L416" t="s">
        <v>732</v>
      </c>
      <c r="M416">
        <f t="shared" si="47"/>
        <v>0.20045053463932633</v>
      </c>
      <c r="N416" t="s">
        <v>894</v>
      </c>
      <c r="O416" s="7">
        <v>299.75</v>
      </c>
      <c r="P416" s="7">
        <v>523.01</v>
      </c>
      <c r="Q416" s="12">
        <v>0.157</v>
      </c>
      <c r="R416">
        <v>50</v>
      </c>
      <c r="S416">
        <f t="shared" si="41"/>
        <v>22044.871499999997</v>
      </c>
      <c r="T416">
        <f t="shared" si="42"/>
        <v>14987.5</v>
      </c>
      <c r="U416">
        <f t="shared" si="43"/>
        <v>7057.3714999999975</v>
      </c>
      <c r="V416">
        <f t="shared" si="44"/>
        <v>0.32013665854210122</v>
      </c>
    </row>
    <row r="417" spans="1:22" x14ac:dyDescent="0.25">
      <c r="A417" t="s">
        <v>323</v>
      </c>
      <c r="B417" s="14">
        <v>45679</v>
      </c>
      <c r="C417" s="14">
        <v>45692</v>
      </c>
      <c r="D417" s="7">
        <f t="shared" si="45"/>
        <v>13</v>
      </c>
      <c r="E417" s="5" t="str">
        <f t="shared" si="46"/>
        <v>Q1</v>
      </c>
      <c r="F417" t="s">
        <v>647</v>
      </c>
      <c r="G417" t="s">
        <v>652</v>
      </c>
      <c r="H417" t="s">
        <v>689</v>
      </c>
      <c r="I417" t="s">
        <v>705</v>
      </c>
      <c r="J417" t="s">
        <v>708</v>
      </c>
      <c r="K417" t="s">
        <v>716</v>
      </c>
      <c r="L417" t="s">
        <v>728</v>
      </c>
      <c r="M417">
        <f t="shared" si="47"/>
        <v>4.8509532189604007E-2</v>
      </c>
      <c r="N417" t="s">
        <v>1042</v>
      </c>
      <c r="O417" s="7">
        <v>122.29</v>
      </c>
      <c r="P417" s="7">
        <v>224.95</v>
      </c>
      <c r="Q417" s="12">
        <v>0.153</v>
      </c>
      <c r="R417">
        <v>28</v>
      </c>
      <c r="S417">
        <f t="shared" si="41"/>
        <v>5334.9141999999993</v>
      </c>
      <c r="T417">
        <f t="shared" si="42"/>
        <v>3424.1200000000003</v>
      </c>
      <c r="U417">
        <f t="shared" si="43"/>
        <v>1910.7941999999989</v>
      </c>
      <c r="V417">
        <f t="shared" si="44"/>
        <v>0.3581677471026618</v>
      </c>
    </row>
    <row r="418" spans="1:22" x14ac:dyDescent="0.25">
      <c r="A418" t="s">
        <v>642</v>
      </c>
      <c r="B418" s="14">
        <v>45141</v>
      </c>
      <c r="C418" s="14">
        <v>45168</v>
      </c>
      <c r="D418" s="7">
        <f t="shared" si="45"/>
        <v>27</v>
      </c>
      <c r="E418" s="5" t="str">
        <f t="shared" si="46"/>
        <v>Q3</v>
      </c>
      <c r="F418" t="s">
        <v>647</v>
      </c>
      <c r="G418" t="s">
        <v>659</v>
      </c>
      <c r="H418" t="s">
        <v>685</v>
      </c>
      <c r="I418" t="s">
        <v>704</v>
      </c>
      <c r="J418" t="s">
        <v>709</v>
      </c>
      <c r="K418" t="s">
        <v>725</v>
      </c>
      <c r="L418" t="s">
        <v>732</v>
      </c>
      <c r="M418">
        <f t="shared" si="47"/>
        <v>4.6341479303435365E-2</v>
      </c>
      <c r="N418" t="s">
        <v>1359</v>
      </c>
      <c r="O418" s="7">
        <v>226.04</v>
      </c>
      <c r="P418" s="7">
        <v>545.72</v>
      </c>
      <c r="Q418" s="12">
        <v>0.151</v>
      </c>
      <c r="R418">
        <v>11</v>
      </c>
      <c r="S418">
        <f t="shared" si="41"/>
        <v>5096.4790800000001</v>
      </c>
      <c r="T418">
        <f t="shared" si="42"/>
        <v>2486.44</v>
      </c>
      <c r="U418">
        <f t="shared" si="43"/>
        <v>2610.03908</v>
      </c>
      <c r="V418">
        <f t="shared" si="44"/>
        <v>0.51212592831834014</v>
      </c>
    </row>
    <row r="419" spans="1:22" x14ac:dyDescent="0.25">
      <c r="A419" t="s">
        <v>455</v>
      </c>
      <c r="B419" s="14">
        <v>45063</v>
      </c>
      <c r="C419" s="14">
        <v>45080</v>
      </c>
      <c r="D419" s="7">
        <f t="shared" si="45"/>
        <v>17</v>
      </c>
      <c r="E419" s="5" t="str">
        <f t="shared" si="46"/>
        <v>Q2</v>
      </c>
      <c r="F419" t="s">
        <v>647</v>
      </c>
      <c r="G419" t="s">
        <v>659</v>
      </c>
      <c r="H419" t="s">
        <v>699</v>
      </c>
      <c r="I419" t="s">
        <v>703</v>
      </c>
      <c r="J419" t="s">
        <v>709</v>
      </c>
      <c r="K419" t="s">
        <v>724</v>
      </c>
      <c r="L419" t="s">
        <v>728</v>
      </c>
      <c r="M419">
        <f t="shared" si="47"/>
        <v>0.18796985876142056</v>
      </c>
      <c r="N419" t="s">
        <v>1173</v>
      </c>
      <c r="O419" s="7">
        <v>979.59</v>
      </c>
      <c r="P419" s="7">
        <v>2210.94</v>
      </c>
      <c r="Q419" s="12">
        <v>0.15</v>
      </c>
      <c r="R419">
        <v>11</v>
      </c>
      <c r="S419">
        <f t="shared" si="41"/>
        <v>20672.289000000001</v>
      </c>
      <c r="T419">
        <f t="shared" si="42"/>
        <v>10775.49</v>
      </c>
      <c r="U419">
        <f t="shared" si="43"/>
        <v>9896.7990000000009</v>
      </c>
      <c r="V419">
        <f t="shared" si="44"/>
        <v>0.47874712858358359</v>
      </c>
    </row>
    <row r="420" spans="1:22" x14ac:dyDescent="0.25">
      <c r="A420" t="s">
        <v>245</v>
      </c>
      <c r="B420" s="14">
        <v>45069</v>
      </c>
      <c r="C420" s="14">
        <v>45087</v>
      </c>
      <c r="D420" s="7">
        <f t="shared" si="45"/>
        <v>18</v>
      </c>
      <c r="E420" s="5" t="str">
        <f t="shared" si="46"/>
        <v>Q2</v>
      </c>
      <c r="F420" t="s">
        <v>647</v>
      </c>
      <c r="G420" t="s">
        <v>659</v>
      </c>
      <c r="H420" t="s">
        <v>685</v>
      </c>
      <c r="I420" t="s">
        <v>701</v>
      </c>
      <c r="J420" t="s">
        <v>709</v>
      </c>
      <c r="K420" t="s">
        <v>718</v>
      </c>
      <c r="L420" t="s">
        <v>727</v>
      </c>
      <c r="M420">
        <f t="shared" si="47"/>
        <v>6.0662903034236033E-3</v>
      </c>
      <c r="N420" t="s">
        <v>964</v>
      </c>
      <c r="O420" s="7">
        <v>54.62</v>
      </c>
      <c r="P420" s="7">
        <v>48.94</v>
      </c>
      <c r="Q420" s="12">
        <v>0.14799999999999999</v>
      </c>
      <c r="R420">
        <v>16</v>
      </c>
      <c r="S420">
        <f t="shared" si="41"/>
        <v>667.15008</v>
      </c>
      <c r="T420">
        <f t="shared" si="42"/>
        <v>873.92</v>
      </c>
      <c r="U420">
        <f t="shared" si="43"/>
        <v>-206.76991999999996</v>
      </c>
      <c r="V420">
        <f t="shared" si="44"/>
        <v>-0.3099301434543783</v>
      </c>
    </row>
    <row r="421" spans="1:22" x14ac:dyDescent="0.25">
      <c r="A421" t="s">
        <v>106</v>
      </c>
      <c r="B421" s="14">
        <v>45817</v>
      </c>
      <c r="C421" s="14">
        <v>45833</v>
      </c>
      <c r="D421" s="7">
        <f t="shared" si="45"/>
        <v>16</v>
      </c>
      <c r="E421" s="5" t="str">
        <f t="shared" si="46"/>
        <v>Q2</v>
      </c>
      <c r="F421" t="s">
        <v>647</v>
      </c>
      <c r="G421" t="s">
        <v>654</v>
      </c>
      <c r="H421" t="s">
        <v>696</v>
      </c>
      <c r="I421" t="s">
        <v>706</v>
      </c>
      <c r="J421" t="s">
        <v>707</v>
      </c>
      <c r="K421" t="s">
        <v>724</v>
      </c>
      <c r="L421" t="s">
        <v>730</v>
      </c>
      <c r="M421">
        <f t="shared" si="47"/>
        <v>0.17740869548027285</v>
      </c>
      <c r="N421" t="s">
        <v>825</v>
      </c>
      <c r="O421" s="7">
        <v>527.33000000000004</v>
      </c>
      <c r="P421" s="7">
        <v>911.72</v>
      </c>
      <c r="Q421" s="12">
        <v>0.14399999999999999</v>
      </c>
      <c r="R421">
        <v>25</v>
      </c>
      <c r="S421">
        <f t="shared" si="41"/>
        <v>19510.808000000001</v>
      </c>
      <c r="T421">
        <f t="shared" si="42"/>
        <v>13183.250000000002</v>
      </c>
      <c r="U421">
        <f t="shared" si="43"/>
        <v>6327.5579999999991</v>
      </c>
      <c r="V421">
        <f t="shared" si="44"/>
        <v>0.32431040272652978</v>
      </c>
    </row>
    <row r="422" spans="1:22" x14ac:dyDescent="0.25">
      <c r="A422" t="s">
        <v>178</v>
      </c>
      <c r="B422" s="14">
        <v>45010</v>
      </c>
      <c r="C422" s="14">
        <v>45011</v>
      </c>
      <c r="D422" s="7">
        <f t="shared" si="45"/>
        <v>1</v>
      </c>
      <c r="E422" s="5" t="str">
        <f t="shared" si="46"/>
        <v>Q1</v>
      </c>
      <c r="F422" t="s">
        <v>647</v>
      </c>
      <c r="G422" t="s">
        <v>652</v>
      </c>
      <c r="H422" t="s">
        <v>666</v>
      </c>
      <c r="I422" t="s">
        <v>705</v>
      </c>
      <c r="J422" t="s">
        <v>709</v>
      </c>
      <c r="K422" t="s">
        <v>714</v>
      </c>
      <c r="L422" t="s">
        <v>732</v>
      </c>
      <c r="M422">
        <f t="shared" si="47"/>
        <v>0.11088460828967309</v>
      </c>
      <c r="N422" t="s">
        <v>897</v>
      </c>
      <c r="O422" s="7">
        <v>135.12</v>
      </c>
      <c r="P422" s="7">
        <v>301.7</v>
      </c>
      <c r="Q422" s="12">
        <v>0.14000000000000001</v>
      </c>
      <c r="R422">
        <v>47</v>
      </c>
      <c r="S422">
        <f t="shared" si="41"/>
        <v>12194.714</v>
      </c>
      <c r="T422">
        <f t="shared" si="42"/>
        <v>6350.64</v>
      </c>
      <c r="U422">
        <f t="shared" si="43"/>
        <v>5844.0739999999996</v>
      </c>
      <c r="V422">
        <f t="shared" si="44"/>
        <v>0.47923009920527859</v>
      </c>
    </row>
    <row r="423" spans="1:22" x14ac:dyDescent="0.25">
      <c r="A423" t="s">
        <v>302</v>
      </c>
      <c r="B423" s="14">
        <v>45542</v>
      </c>
      <c r="C423" s="14">
        <v>45542</v>
      </c>
      <c r="D423" s="7">
        <f t="shared" si="45"/>
        <v>0</v>
      </c>
      <c r="E423" s="5" t="str">
        <f t="shared" si="46"/>
        <v>Q3</v>
      </c>
      <c r="F423" t="s">
        <v>647</v>
      </c>
      <c r="G423" t="s">
        <v>654</v>
      </c>
      <c r="H423" t="s">
        <v>691</v>
      </c>
      <c r="I423" t="s">
        <v>702</v>
      </c>
      <c r="J423" t="s">
        <v>707</v>
      </c>
      <c r="K423" t="s">
        <v>717</v>
      </c>
      <c r="L423" t="s">
        <v>729</v>
      </c>
      <c r="M423">
        <f t="shared" si="47"/>
        <v>0.18211860016958559</v>
      </c>
      <c r="N423" t="s">
        <v>1021</v>
      </c>
      <c r="O423" s="7">
        <v>1066.6500000000001</v>
      </c>
      <c r="P423" s="7">
        <v>2569.77</v>
      </c>
      <c r="Q423" s="12">
        <v>0.13400000000000001</v>
      </c>
      <c r="R423">
        <v>9</v>
      </c>
      <c r="S423">
        <f t="shared" si="41"/>
        <v>20028.787380000002</v>
      </c>
      <c r="T423">
        <f t="shared" si="42"/>
        <v>9599.85</v>
      </c>
      <c r="U423">
        <f t="shared" si="43"/>
        <v>10428.937380000001</v>
      </c>
      <c r="V423">
        <f t="shared" si="44"/>
        <v>0.52069739331368348</v>
      </c>
    </row>
    <row r="424" spans="1:22" x14ac:dyDescent="0.25">
      <c r="A424" t="s">
        <v>298</v>
      </c>
      <c r="B424" s="14">
        <v>45794</v>
      </c>
      <c r="C424" s="14">
        <v>45805</v>
      </c>
      <c r="D424" s="7">
        <f t="shared" si="45"/>
        <v>11</v>
      </c>
      <c r="E424" s="5" t="str">
        <f t="shared" si="46"/>
        <v>Q2</v>
      </c>
      <c r="F424" t="s">
        <v>647</v>
      </c>
      <c r="G424" t="s">
        <v>654</v>
      </c>
      <c r="H424" t="s">
        <v>668</v>
      </c>
      <c r="I424" t="s">
        <v>701</v>
      </c>
      <c r="J424" t="s">
        <v>710</v>
      </c>
      <c r="K424" t="s">
        <v>717</v>
      </c>
      <c r="L424" t="s">
        <v>731</v>
      </c>
      <c r="M424">
        <f t="shared" si="47"/>
        <v>0.10635130714286246</v>
      </c>
      <c r="N424" t="s">
        <v>1017</v>
      </c>
      <c r="O424" s="7">
        <v>623.4</v>
      </c>
      <c r="P424" s="7">
        <v>1100.0899999999999</v>
      </c>
      <c r="Q424" s="12">
        <v>0.114</v>
      </c>
      <c r="R424">
        <v>12</v>
      </c>
      <c r="S424">
        <f t="shared" si="41"/>
        <v>11696.156879999999</v>
      </c>
      <c r="T424">
        <f t="shared" si="42"/>
        <v>7480.7999999999993</v>
      </c>
      <c r="U424">
        <f t="shared" si="43"/>
        <v>4215.3568799999994</v>
      </c>
      <c r="V424">
        <f t="shared" si="44"/>
        <v>0.36040529579490388</v>
      </c>
    </row>
    <row r="425" spans="1:22" x14ac:dyDescent="0.25">
      <c r="A425" t="s">
        <v>475</v>
      </c>
      <c r="B425" s="14">
        <v>45116</v>
      </c>
      <c r="C425" s="14">
        <v>45126</v>
      </c>
      <c r="D425" s="7">
        <f t="shared" si="45"/>
        <v>10</v>
      </c>
      <c r="E425" s="5" t="str">
        <f t="shared" si="46"/>
        <v>Q3</v>
      </c>
      <c r="F425" t="s">
        <v>647</v>
      </c>
      <c r="G425" t="s">
        <v>652</v>
      </c>
      <c r="H425" t="s">
        <v>689</v>
      </c>
      <c r="I425" t="s">
        <v>706</v>
      </c>
      <c r="J425" t="s">
        <v>708</v>
      </c>
      <c r="K425" t="s">
        <v>725</v>
      </c>
      <c r="L425" t="s">
        <v>727</v>
      </c>
      <c r="M425">
        <f t="shared" si="47"/>
        <v>1.5118619017302935E-2</v>
      </c>
      <c r="N425" t="s">
        <v>1193</v>
      </c>
      <c r="O425" s="7">
        <v>141.26</v>
      </c>
      <c r="P425" s="7">
        <v>206.88</v>
      </c>
      <c r="Q425" s="12">
        <v>0.107</v>
      </c>
      <c r="R425">
        <v>9</v>
      </c>
      <c r="S425">
        <f t="shared" si="41"/>
        <v>1662.6945600000001</v>
      </c>
      <c r="T425">
        <f t="shared" si="42"/>
        <v>1271.3399999999999</v>
      </c>
      <c r="U425">
        <f t="shared" si="43"/>
        <v>391.35456000000022</v>
      </c>
      <c r="V425">
        <f t="shared" si="44"/>
        <v>0.23537369365062469</v>
      </c>
    </row>
    <row r="426" spans="1:22" x14ac:dyDescent="0.25">
      <c r="A426" t="s">
        <v>82</v>
      </c>
      <c r="B426" s="14">
        <v>45434</v>
      </c>
      <c r="C426" s="14">
        <v>45449</v>
      </c>
      <c r="D426" s="7">
        <f t="shared" si="45"/>
        <v>15</v>
      </c>
      <c r="E426" s="5" t="str">
        <f t="shared" si="46"/>
        <v>Q2</v>
      </c>
      <c r="F426" t="s">
        <v>647</v>
      </c>
      <c r="G426" t="s">
        <v>652</v>
      </c>
      <c r="H426" t="s">
        <v>694</v>
      </c>
      <c r="I426" t="s">
        <v>701</v>
      </c>
      <c r="J426" t="s">
        <v>709</v>
      </c>
      <c r="K426" t="s">
        <v>712</v>
      </c>
      <c r="L426" t="s">
        <v>732</v>
      </c>
      <c r="M426">
        <f t="shared" si="47"/>
        <v>0.12991758478740867</v>
      </c>
      <c r="N426" t="s">
        <v>801</v>
      </c>
      <c r="O426" s="7">
        <v>673.88</v>
      </c>
      <c r="P426" s="7">
        <v>1228.01</v>
      </c>
      <c r="Q426" s="12">
        <v>0.105</v>
      </c>
      <c r="R426">
        <v>13</v>
      </c>
      <c r="S426">
        <f t="shared" si="41"/>
        <v>14287.896349999999</v>
      </c>
      <c r="T426">
        <f t="shared" si="42"/>
        <v>8760.44</v>
      </c>
      <c r="U426">
        <f t="shared" si="43"/>
        <v>5527.4563499999986</v>
      </c>
      <c r="V426">
        <f t="shared" si="44"/>
        <v>0.38686285332689996</v>
      </c>
    </row>
    <row r="427" spans="1:22" x14ac:dyDescent="0.25">
      <c r="A427" t="s">
        <v>603</v>
      </c>
      <c r="B427" s="14">
        <v>45459</v>
      </c>
      <c r="C427" s="14">
        <v>45464</v>
      </c>
      <c r="D427" s="7">
        <f t="shared" si="45"/>
        <v>5</v>
      </c>
      <c r="E427" s="5" t="str">
        <f t="shared" si="46"/>
        <v>Q2</v>
      </c>
      <c r="F427" t="s">
        <v>647</v>
      </c>
      <c r="G427" t="s">
        <v>652</v>
      </c>
      <c r="H427" t="s">
        <v>689</v>
      </c>
      <c r="I427" t="s">
        <v>705</v>
      </c>
      <c r="J427" t="s">
        <v>709</v>
      </c>
      <c r="K427" t="s">
        <v>721</v>
      </c>
      <c r="L427" t="s">
        <v>730</v>
      </c>
      <c r="M427">
        <f t="shared" si="47"/>
        <v>0.62436522116850901</v>
      </c>
      <c r="N427" t="s">
        <v>1320</v>
      </c>
      <c r="O427" s="7">
        <v>1367.13</v>
      </c>
      <c r="P427" s="7">
        <v>3062.01</v>
      </c>
      <c r="Q427" s="12">
        <v>0.10299999999999999</v>
      </c>
      <c r="R427">
        <v>25</v>
      </c>
      <c r="S427">
        <f t="shared" si="41"/>
        <v>68665.574250000005</v>
      </c>
      <c r="T427">
        <f t="shared" si="42"/>
        <v>34178.25</v>
      </c>
      <c r="U427">
        <f t="shared" si="43"/>
        <v>34487.324250000005</v>
      </c>
      <c r="V427">
        <f t="shared" si="44"/>
        <v>0.50225057645971705</v>
      </c>
    </row>
    <row r="428" spans="1:22" x14ac:dyDescent="0.25">
      <c r="A428" t="s">
        <v>496</v>
      </c>
      <c r="B428" s="14">
        <v>45538</v>
      </c>
      <c r="C428" s="14">
        <v>45542</v>
      </c>
      <c r="D428" s="7">
        <f t="shared" si="45"/>
        <v>4</v>
      </c>
      <c r="E428" s="5" t="str">
        <f t="shared" si="46"/>
        <v>Q3</v>
      </c>
      <c r="F428" t="s">
        <v>647</v>
      </c>
      <c r="G428" t="s">
        <v>652</v>
      </c>
      <c r="H428" t="s">
        <v>689</v>
      </c>
      <c r="I428" t="s">
        <v>705</v>
      </c>
      <c r="J428" t="s">
        <v>710</v>
      </c>
      <c r="K428" t="s">
        <v>725</v>
      </c>
      <c r="L428" t="s">
        <v>728</v>
      </c>
      <c r="M428">
        <f t="shared" si="47"/>
        <v>4.3086669393713729E-2</v>
      </c>
      <c r="N428" t="s">
        <v>1214</v>
      </c>
      <c r="O428" s="7">
        <v>43.23</v>
      </c>
      <c r="P428" s="7">
        <v>94.78</v>
      </c>
      <c r="Q428" s="12">
        <v>9.0999999999999998E-2</v>
      </c>
      <c r="R428">
        <v>55</v>
      </c>
      <c r="S428">
        <f t="shared" si="41"/>
        <v>4738.5261</v>
      </c>
      <c r="T428">
        <f t="shared" si="42"/>
        <v>2377.6499999999996</v>
      </c>
      <c r="U428">
        <f t="shared" si="43"/>
        <v>2360.8761000000004</v>
      </c>
      <c r="V428">
        <f t="shared" si="44"/>
        <v>0.49823005090127082</v>
      </c>
    </row>
    <row r="429" spans="1:22" x14ac:dyDescent="0.25">
      <c r="A429" t="s">
        <v>45</v>
      </c>
      <c r="B429" s="14">
        <v>45653</v>
      </c>
      <c r="C429" s="14">
        <v>45672</v>
      </c>
      <c r="D429" s="7">
        <f t="shared" si="45"/>
        <v>19</v>
      </c>
      <c r="E429" s="5" t="str">
        <f t="shared" si="46"/>
        <v>Q4</v>
      </c>
      <c r="F429" t="s">
        <v>647</v>
      </c>
      <c r="G429" t="s">
        <v>654</v>
      </c>
      <c r="H429" t="s">
        <v>680</v>
      </c>
      <c r="I429" t="s">
        <v>703</v>
      </c>
      <c r="J429" t="s">
        <v>709</v>
      </c>
      <c r="K429" t="s">
        <v>715</v>
      </c>
      <c r="L429" t="s">
        <v>727</v>
      </c>
      <c r="M429">
        <f t="shared" si="47"/>
        <v>8.9163112355541932E-2</v>
      </c>
      <c r="N429" t="s">
        <v>764</v>
      </c>
      <c r="O429" s="7">
        <v>495.59</v>
      </c>
      <c r="P429" s="7">
        <v>631.78</v>
      </c>
      <c r="Q429" s="12">
        <v>8.6999999999999994E-2</v>
      </c>
      <c r="R429">
        <v>17</v>
      </c>
      <c r="S429">
        <f t="shared" si="41"/>
        <v>9805.8573800000013</v>
      </c>
      <c r="T429">
        <f t="shared" si="42"/>
        <v>8425.0299999999988</v>
      </c>
      <c r="U429">
        <f t="shared" si="43"/>
        <v>1380.8273800000024</v>
      </c>
      <c r="V429">
        <f t="shared" si="44"/>
        <v>0.14081658813601899</v>
      </c>
    </row>
    <row r="430" spans="1:22" x14ac:dyDescent="0.25">
      <c r="A430" t="s">
        <v>630</v>
      </c>
      <c r="B430" s="14">
        <v>45727</v>
      </c>
      <c r="C430" s="14">
        <v>45743</v>
      </c>
      <c r="D430" s="7">
        <f t="shared" si="45"/>
        <v>16</v>
      </c>
      <c r="E430" s="5" t="str">
        <f t="shared" si="46"/>
        <v>Q1</v>
      </c>
      <c r="F430" t="s">
        <v>647</v>
      </c>
      <c r="G430" t="s">
        <v>652</v>
      </c>
      <c r="H430" t="s">
        <v>689</v>
      </c>
      <c r="I430" t="s">
        <v>706</v>
      </c>
      <c r="J430" t="s">
        <v>711</v>
      </c>
      <c r="K430" t="s">
        <v>717</v>
      </c>
      <c r="L430" t="s">
        <v>728</v>
      </c>
      <c r="M430">
        <f t="shared" si="47"/>
        <v>9.5148757333508791E-2</v>
      </c>
      <c r="N430" t="s">
        <v>1347</v>
      </c>
      <c r="O430" s="7">
        <v>1317.58</v>
      </c>
      <c r="P430" s="7">
        <v>1897.74</v>
      </c>
      <c r="Q430" s="12">
        <v>8.1000000000000003E-2</v>
      </c>
      <c r="R430">
        <v>6</v>
      </c>
      <c r="S430">
        <f t="shared" si="41"/>
        <v>10464.138360000001</v>
      </c>
      <c r="T430">
        <f t="shared" si="42"/>
        <v>7905.48</v>
      </c>
      <c r="U430">
        <f t="shared" si="43"/>
        <v>2558.6583600000013</v>
      </c>
      <c r="V430">
        <f t="shared" si="44"/>
        <v>0.24451687009230266</v>
      </c>
    </row>
    <row r="431" spans="1:22" x14ac:dyDescent="0.25">
      <c r="A431" t="s">
        <v>208</v>
      </c>
      <c r="B431" s="14">
        <v>45214</v>
      </c>
      <c r="C431" s="14">
        <v>45243</v>
      </c>
      <c r="D431" s="7">
        <f t="shared" si="45"/>
        <v>29</v>
      </c>
      <c r="E431" s="5" t="str">
        <f t="shared" si="46"/>
        <v>Q4</v>
      </c>
      <c r="F431" t="s">
        <v>647</v>
      </c>
      <c r="G431" t="s">
        <v>659</v>
      </c>
      <c r="H431" t="s">
        <v>676</v>
      </c>
      <c r="I431" t="s">
        <v>703</v>
      </c>
      <c r="J431" t="s">
        <v>711</v>
      </c>
      <c r="K431" t="s">
        <v>713</v>
      </c>
      <c r="L431" t="s">
        <v>728</v>
      </c>
      <c r="M431">
        <f t="shared" si="47"/>
        <v>4.00277498537739E-2</v>
      </c>
      <c r="N431" t="s">
        <v>927</v>
      </c>
      <c r="O431" s="7">
        <v>986.44</v>
      </c>
      <c r="P431" s="7">
        <v>790.61</v>
      </c>
      <c r="Q431" s="12">
        <v>7.1999999999999995E-2</v>
      </c>
      <c r="R431">
        <v>6</v>
      </c>
      <c r="S431">
        <f t="shared" si="41"/>
        <v>4402.1164799999997</v>
      </c>
      <c r="T431">
        <f t="shared" si="42"/>
        <v>5918.64</v>
      </c>
      <c r="U431">
        <f t="shared" si="43"/>
        <v>-1516.5235200000006</v>
      </c>
      <c r="V431">
        <f t="shared" si="44"/>
        <v>-0.34449872621271499</v>
      </c>
    </row>
    <row r="432" spans="1:22" x14ac:dyDescent="0.25">
      <c r="A432" t="s">
        <v>482</v>
      </c>
      <c r="B432" s="14">
        <v>45278</v>
      </c>
      <c r="C432" s="14">
        <v>45305</v>
      </c>
      <c r="D432" s="7">
        <f t="shared" si="45"/>
        <v>27</v>
      </c>
      <c r="E432" s="5" t="str">
        <f t="shared" si="46"/>
        <v>Q4</v>
      </c>
      <c r="F432" t="s">
        <v>647</v>
      </c>
      <c r="G432" t="s">
        <v>654</v>
      </c>
      <c r="H432" t="s">
        <v>691</v>
      </c>
      <c r="I432" t="s">
        <v>704</v>
      </c>
      <c r="J432" t="s">
        <v>707</v>
      </c>
      <c r="K432" t="s">
        <v>726</v>
      </c>
      <c r="L432" t="s">
        <v>729</v>
      </c>
      <c r="M432">
        <f t="shared" si="47"/>
        <v>0.12968142585730874</v>
      </c>
      <c r="N432" t="s">
        <v>1200</v>
      </c>
      <c r="O432" s="7">
        <v>1408.3</v>
      </c>
      <c r="P432" s="7">
        <v>2193.13</v>
      </c>
      <c r="Q432" s="12">
        <v>7.0999999999999994E-2</v>
      </c>
      <c r="R432">
        <v>7</v>
      </c>
      <c r="S432">
        <f t="shared" si="41"/>
        <v>14261.92439</v>
      </c>
      <c r="T432">
        <f t="shared" si="42"/>
        <v>9858.1</v>
      </c>
      <c r="U432">
        <f t="shared" si="43"/>
        <v>4403.8243899999998</v>
      </c>
      <c r="V432">
        <f t="shared" si="44"/>
        <v>0.30878191957656281</v>
      </c>
    </row>
    <row r="433" spans="1:22" x14ac:dyDescent="0.25">
      <c r="A433" t="s">
        <v>517</v>
      </c>
      <c r="B433" s="14">
        <v>44980</v>
      </c>
      <c r="C433" s="14">
        <v>45003</v>
      </c>
      <c r="D433" s="7">
        <f t="shared" si="45"/>
        <v>23</v>
      </c>
      <c r="E433" s="5" t="str">
        <f t="shared" si="46"/>
        <v>Q1</v>
      </c>
      <c r="F433" t="s">
        <v>647</v>
      </c>
      <c r="G433" t="s">
        <v>659</v>
      </c>
      <c r="H433" t="s">
        <v>699</v>
      </c>
      <c r="I433" t="s">
        <v>702</v>
      </c>
      <c r="J433" t="s">
        <v>708</v>
      </c>
      <c r="K433" t="s">
        <v>723</v>
      </c>
      <c r="L433" t="s">
        <v>728</v>
      </c>
      <c r="M433">
        <f t="shared" si="47"/>
        <v>9.8831763724077273E-2</v>
      </c>
      <c r="N433" t="s">
        <v>1235</v>
      </c>
      <c r="O433" s="7">
        <v>770.11</v>
      </c>
      <c r="P433" s="7">
        <v>1667.82</v>
      </c>
      <c r="Q433" s="12">
        <v>6.9000000000000006E-2</v>
      </c>
      <c r="R433">
        <v>7</v>
      </c>
      <c r="S433">
        <f t="shared" si="41"/>
        <v>10869.182940000001</v>
      </c>
      <c r="T433">
        <f t="shared" si="42"/>
        <v>5390.77</v>
      </c>
      <c r="U433">
        <f t="shared" si="43"/>
        <v>5478.4129400000002</v>
      </c>
      <c r="V433">
        <f t="shared" si="44"/>
        <v>0.50403171703355287</v>
      </c>
    </row>
    <row r="434" spans="1:22" x14ac:dyDescent="0.25">
      <c r="A434" t="s">
        <v>390</v>
      </c>
      <c r="B434" s="14">
        <v>45354</v>
      </c>
      <c r="C434" s="14">
        <v>45370</v>
      </c>
      <c r="D434" s="7">
        <f t="shared" si="45"/>
        <v>16</v>
      </c>
      <c r="E434" s="5" t="str">
        <f t="shared" si="46"/>
        <v>Q1</v>
      </c>
      <c r="F434" t="s">
        <v>647</v>
      </c>
      <c r="G434" t="s">
        <v>659</v>
      </c>
      <c r="H434" t="s">
        <v>699</v>
      </c>
      <c r="I434" t="s">
        <v>704</v>
      </c>
      <c r="J434" t="s">
        <v>711</v>
      </c>
      <c r="K434" t="s">
        <v>715</v>
      </c>
      <c r="L434" t="s">
        <v>730</v>
      </c>
      <c r="M434">
        <f t="shared" si="47"/>
        <v>0.34936538033202558</v>
      </c>
      <c r="N434" t="s">
        <v>1109</v>
      </c>
      <c r="O434" s="7">
        <v>988.83</v>
      </c>
      <c r="P434" s="7">
        <v>1206.04</v>
      </c>
      <c r="Q434" s="12">
        <v>6.3E-2</v>
      </c>
      <c r="R434">
        <v>34</v>
      </c>
      <c r="S434">
        <f t="shared" si="41"/>
        <v>38422.022320000004</v>
      </c>
      <c r="T434">
        <f t="shared" si="42"/>
        <v>33620.22</v>
      </c>
      <c r="U434">
        <f t="shared" si="43"/>
        <v>4801.8023200000025</v>
      </c>
      <c r="V434">
        <f t="shared" si="44"/>
        <v>0.12497526236406606</v>
      </c>
    </row>
    <row r="435" spans="1:22" x14ac:dyDescent="0.25">
      <c r="A435" t="s">
        <v>522</v>
      </c>
      <c r="B435" s="14">
        <v>45589</v>
      </c>
      <c r="C435" s="14">
        <v>45593</v>
      </c>
      <c r="D435" s="7">
        <f t="shared" si="45"/>
        <v>4</v>
      </c>
      <c r="E435" s="5" t="str">
        <f t="shared" si="46"/>
        <v>Q4</v>
      </c>
      <c r="F435" t="s">
        <v>647</v>
      </c>
      <c r="G435" t="s">
        <v>659</v>
      </c>
      <c r="H435" t="s">
        <v>685</v>
      </c>
      <c r="I435" t="s">
        <v>705</v>
      </c>
      <c r="J435" t="s">
        <v>708</v>
      </c>
      <c r="K435" t="s">
        <v>714</v>
      </c>
      <c r="L435" t="s">
        <v>729</v>
      </c>
      <c r="M435">
        <f t="shared" si="47"/>
        <v>0.13933804603188099</v>
      </c>
      <c r="N435" t="s">
        <v>1240</v>
      </c>
      <c r="O435" s="7">
        <v>1331.77</v>
      </c>
      <c r="P435" s="7">
        <v>2606.11</v>
      </c>
      <c r="Q435" s="12">
        <v>0.02</v>
      </c>
      <c r="R435">
        <v>6</v>
      </c>
      <c r="S435">
        <f t="shared" si="41"/>
        <v>15323.926799999999</v>
      </c>
      <c r="T435">
        <f t="shared" si="42"/>
        <v>7990.62</v>
      </c>
      <c r="U435">
        <f t="shared" si="43"/>
        <v>7333.3067999999994</v>
      </c>
      <c r="V435">
        <f t="shared" si="44"/>
        <v>0.47855271665745619</v>
      </c>
    </row>
    <row r="436" spans="1:22" x14ac:dyDescent="0.25">
      <c r="A436" t="s">
        <v>380</v>
      </c>
      <c r="B436" s="14">
        <v>45737</v>
      </c>
      <c r="C436" s="14">
        <v>45756</v>
      </c>
      <c r="D436" s="7">
        <f t="shared" si="45"/>
        <v>19</v>
      </c>
      <c r="E436" s="5" t="str">
        <f t="shared" si="46"/>
        <v>Q1</v>
      </c>
      <c r="F436" t="s">
        <v>647</v>
      </c>
      <c r="G436" t="s">
        <v>652</v>
      </c>
      <c r="H436" t="s">
        <v>689</v>
      </c>
      <c r="I436" t="s">
        <v>705</v>
      </c>
      <c r="J436" t="s">
        <v>710</v>
      </c>
      <c r="K436" t="s">
        <v>718</v>
      </c>
      <c r="L436" t="s">
        <v>727</v>
      </c>
      <c r="M436">
        <f t="shared" si="47"/>
        <v>0.19626620895068511</v>
      </c>
      <c r="N436" t="s">
        <v>1099</v>
      </c>
      <c r="O436" s="7">
        <v>1055.45</v>
      </c>
      <c r="P436" s="7">
        <v>1210.04</v>
      </c>
      <c r="Q436" s="12">
        <v>8.9999999999999993E-3</v>
      </c>
      <c r="R436">
        <v>18</v>
      </c>
      <c r="S436">
        <f t="shared" si="41"/>
        <v>21584.693520000001</v>
      </c>
      <c r="T436">
        <f t="shared" si="42"/>
        <v>18998.100000000002</v>
      </c>
      <c r="U436">
        <f t="shared" si="43"/>
        <v>2586.5935199999985</v>
      </c>
      <c r="V436">
        <f t="shared" si="44"/>
        <v>0.1198346188053727</v>
      </c>
    </row>
    <row r="437" spans="1:22" x14ac:dyDescent="0.25">
      <c r="A437" t="s">
        <v>530</v>
      </c>
      <c r="B437" s="14">
        <v>45874</v>
      </c>
      <c r="C437" s="14">
        <v>45897</v>
      </c>
      <c r="D437" s="7">
        <f t="shared" si="45"/>
        <v>23</v>
      </c>
      <c r="E437" s="5" t="str">
        <f t="shared" si="46"/>
        <v>Q3</v>
      </c>
      <c r="F437" t="s">
        <v>647</v>
      </c>
      <c r="G437" t="s">
        <v>654</v>
      </c>
      <c r="H437" t="s">
        <v>691</v>
      </c>
      <c r="I437" t="s">
        <v>703</v>
      </c>
      <c r="J437" t="s">
        <v>708</v>
      </c>
      <c r="K437" t="s">
        <v>725</v>
      </c>
      <c r="L437" t="s">
        <v>731</v>
      </c>
      <c r="M437">
        <f t="shared" si="47"/>
        <v>9.8744991277931182E-2</v>
      </c>
      <c r="N437" t="s">
        <v>1248</v>
      </c>
      <c r="O437" s="7">
        <v>638.54</v>
      </c>
      <c r="P437" s="7">
        <v>987.24</v>
      </c>
      <c r="Q437" s="12">
        <v>0</v>
      </c>
      <c r="R437">
        <v>11</v>
      </c>
      <c r="S437">
        <f t="shared" si="41"/>
        <v>10859.64</v>
      </c>
      <c r="T437">
        <f t="shared" si="42"/>
        <v>7023.94</v>
      </c>
      <c r="U437">
        <f t="shared" si="43"/>
        <v>3835.7</v>
      </c>
      <c r="V437">
        <f t="shared" si="44"/>
        <v>0.35320692030306716</v>
      </c>
    </row>
    <row r="438" spans="1:22" x14ac:dyDescent="0.25">
      <c r="A438" t="s">
        <v>373</v>
      </c>
      <c r="B438" s="14">
        <v>45621</v>
      </c>
      <c r="C438" s="14">
        <v>45633</v>
      </c>
      <c r="D438" s="7">
        <f t="shared" si="45"/>
        <v>12</v>
      </c>
      <c r="E438" s="5" t="str">
        <f t="shared" si="46"/>
        <v>Q4</v>
      </c>
      <c r="F438" t="s">
        <v>647</v>
      </c>
      <c r="G438" t="s">
        <v>659</v>
      </c>
      <c r="H438" t="s">
        <v>685</v>
      </c>
      <c r="I438" t="s">
        <v>701</v>
      </c>
      <c r="J438" t="s">
        <v>711</v>
      </c>
      <c r="K438" t="s">
        <v>720</v>
      </c>
      <c r="L438" t="s">
        <v>733</v>
      </c>
      <c r="M438">
        <f t="shared" si="47"/>
        <v>3.702423427346397E-2</v>
      </c>
      <c r="N438" t="s">
        <v>1092</v>
      </c>
      <c r="O438" s="7">
        <v>769.9</v>
      </c>
      <c r="P438" s="7">
        <v>814.36</v>
      </c>
      <c r="Q438" s="12">
        <v>0</v>
      </c>
      <c r="R438">
        <v>5</v>
      </c>
      <c r="S438">
        <f t="shared" si="41"/>
        <v>4071.8</v>
      </c>
      <c r="T438">
        <f t="shared" si="42"/>
        <v>3849.5</v>
      </c>
      <c r="U438">
        <f t="shared" si="43"/>
        <v>222.30000000000018</v>
      </c>
      <c r="V438">
        <f t="shared" si="44"/>
        <v>5.4595019401738831E-2</v>
      </c>
    </row>
    <row r="439" spans="1:22" x14ac:dyDescent="0.25">
      <c r="A439" t="s">
        <v>296</v>
      </c>
      <c r="B439" s="14">
        <v>45730</v>
      </c>
      <c r="C439" s="14">
        <v>45745</v>
      </c>
      <c r="D439" s="7">
        <f t="shared" si="45"/>
        <v>15</v>
      </c>
      <c r="E439" s="5" t="str">
        <f t="shared" si="46"/>
        <v>Q1</v>
      </c>
      <c r="F439" t="s">
        <v>647</v>
      </c>
      <c r="G439" t="s">
        <v>652</v>
      </c>
      <c r="H439" t="s">
        <v>689</v>
      </c>
      <c r="I439" t="s">
        <v>703</v>
      </c>
      <c r="J439" t="s">
        <v>711</v>
      </c>
      <c r="K439" t="s">
        <v>722</v>
      </c>
      <c r="L439" t="s">
        <v>729</v>
      </c>
      <c r="M439">
        <f t="shared" si="47"/>
        <v>0.11853401822466222</v>
      </c>
      <c r="N439" t="s">
        <v>1015</v>
      </c>
      <c r="O439" s="7">
        <v>1106.96</v>
      </c>
      <c r="P439" s="7">
        <v>2726.62</v>
      </c>
      <c r="Q439" s="12">
        <v>0.317</v>
      </c>
      <c r="R439">
        <v>7</v>
      </c>
      <c r="S439">
        <f t="shared" si="41"/>
        <v>13035.970220000001</v>
      </c>
      <c r="T439">
        <f t="shared" si="42"/>
        <v>7748.72</v>
      </c>
      <c r="U439">
        <f t="shared" si="43"/>
        <v>5287.2502200000008</v>
      </c>
      <c r="V439">
        <f t="shared" si="44"/>
        <v>0.40558931408789306</v>
      </c>
    </row>
    <row r="440" spans="1:22" x14ac:dyDescent="0.25">
      <c r="A440" t="s">
        <v>230</v>
      </c>
      <c r="B440" s="14">
        <v>45351</v>
      </c>
      <c r="C440" s="14">
        <v>45381</v>
      </c>
      <c r="D440" s="7">
        <f t="shared" si="45"/>
        <v>30</v>
      </c>
      <c r="E440" s="5" t="str">
        <f t="shared" si="46"/>
        <v>Q1</v>
      </c>
      <c r="F440" t="s">
        <v>647</v>
      </c>
      <c r="G440" t="s">
        <v>652</v>
      </c>
      <c r="H440" t="s">
        <v>694</v>
      </c>
      <c r="I440" t="s">
        <v>705</v>
      </c>
      <c r="J440" t="s">
        <v>708</v>
      </c>
      <c r="K440" t="s">
        <v>714</v>
      </c>
      <c r="L440" t="s">
        <v>729</v>
      </c>
      <c r="M440">
        <f t="shared" si="47"/>
        <v>0.13869375452249574</v>
      </c>
      <c r="N440" t="s">
        <v>949</v>
      </c>
      <c r="O440" s="7">
        <v>231.11</v>
      </c>
      <c r="P440" s="7">
        <v>318.17</v>
      </c>
      <c r="Q440" s="12">
        <v>0.20100000000000001</v>
      </c>
      <c r="R440">
        <v>60</v>
      </c>
      <c r="S440">
        <f t="shared" si="41"/>
        <v>15253.069799999999</v>
      </c>
      <c r="T440">
        <f t="shared" si="42"/>
        <v>13866.6</v>
      </c>
      <c r="U440">
        <f t="shared" si="43"/>
        <v>1386.4697999999989</v>
      </c>
      <c r="V440">
        <f t="shared" si="44"/>
        <v>9.0897754889969692E-2</v>
      </c>
    </row>
    <row r="441" spans="1:22" x14ac:dyDescent="0.25">
      <c r="A441" t="s">
        <v>613</v>
      </c>
      <c r="B441" s="14">
        <v>45726</v>
      </c>
      <c r="C441" s="14">
        <v>45751</v>
      </c>
      <c r="D441" s="7">
        <f t="shared" si="45"/>
        <v>25</v>
      </c>
      <c r="E441" s="5" t="str">
        <f t="shared" si="46"/>
        <v>Q1</v>
      </c>
      <c r="F441" t="s">
        <v>647</v>
      </c>
      <c r="G441" t="s">
        <v>652</v>
      </c>
      <c r="H441" t="s">
        <v>666</v>
      </c>
      <c r="I441" t="s">
        <v>701</v>
      </c>
      <c r="J441" t="s">
        <v>708</v>
      </c>
      <c r="K441" t="s">
        <v>722</v>
      </c>
      <c r="L441" t="s">
        <v>728</v>
      </c>
      <c r="M441">
        <f t="shared" si="47"/>
        <v>4.0095040522106662E-2</v>
      </c>
      <c r="N441" t="s">
        <v>1330</v>
      </c>
      <c r="O441" s="7">
        <v>783.72</v>
      </c>
      <c r="P441" s="7">
        <v>1355.94</v>
      </c>
      <c r="Q441" s="12">
        <v>0.187</v>
      </c>
      <c r="R441">
        <v>4</v>
      </c>
      <c r="S441">
        <f t="shared" si="41"/>
        <v>4409.5168800000001</v>
      </c>
      <c r="T441">
        <f t="shared" si="42"/>
        <v>3134.88</v>
      </c>
      <c r="U441">
        <f t="shared" si="43"/>
        <v>1274.63688</v>
      </c>
      <c r="V441">
        <f t="shared" si="44"/>
        <v>0.28906497348525856</v>
      </c>
    </row>
    <row r="442" spans="1:22" x14ac:dyDescent="0.25">
      <c r="A442" t="s">
        <v>211</v>
      </c>
      <c r="B442" s="14">
        <v>45588</v>
      </c>
      <c r="C442" s="14">
        <v>45610</v>
      </c>
      <c r="D442" s="7">
        <f t="shared" si="45"/>
        <v>22</v>
      </c>
      <c r="E442" s="5" t="str">
        <f t="shared" si="46"/>
        <v>Q4</v>
      </c>
      <c r="F442" t="s">
        <v>647</v>
      </c>
      <c r="G442" t="s">
        <v>652</v>
      </c>
      <c r="H442" t="s">
        <v>666</v>
      </c>
      <c r="I442" t="s">
        <v>703</v>
      </c>
      <c r="J442" t="s">
        <v>710</v>
      </c>
      <c r="K442" t="s">
        <v>717</v>
      </c>
      <c r="L442" t="s">
        <v>730</v>
      </c>
      <c r="M442">
        <f t="shared" si="47"/>
        <v>0.19713054069091887</v>
      </c>
      <c r="N442" t="s">
        <v>930</v>
      </c>
      <c r="O442" s="7">
        <v>1406.4</v>
      </c>
      <c r="P442" s="7">
        <v>1564.76</v>
      </c>
      <c r="Q442" s="12">
        <v>0.185</v>
      </c>
      <c r="R442">
        <v>17</v>
      </c>
      <c r="S442">
        <f t="shared" si="41"/>
        <v>21679.749799999998</v>
      </c>
      <c r="T442">
        <f t="shared" si="42"/>
        <v>23908.800000000003</v>
      </c>
      <c r="U442">
        <f t="shared" si="43"/>
        <v>-2229.0502000000051</v>
      </c>
      <c r="V442">
        <f t="shared" si="44"/>
        <v>-0.10281715520536151</v>
      </c>
    </row>
    <row r="443" spans="1:22" x14ac:dyDescent="0.25">
      <c r="A443" t="s">
        <v>174</v>
      </c>
      <c r="B443" s="14">
        <v>45870</v>
      </c>
      <c r="C443" s="14">
        <v>45890</v>
      </c>
      <c r="D443" s="7">
        <f t="shared" si="45"/>
        <v>20</v>
      </c>
      <c r="E443" s="5" t="str">
        <f t="shared" si="46"/>
        <v>Q3</v>
      </c>
      <c r="F443" t="s">
        <v>647</v>
      </c>
      <c r="G443" t="s">
        <v>659</v>
      </c>
      <c r="H443" t="s">
        <v>685</v>
      </c>
      <c r="I443" t="s">
        <v>701</v>
      </c>
      <c r="J443" t="s">
        <v>711</v>
      </c>
      <c r="K443" t="s">
        <v>714</v>
      </c>
      <c r="L443" t="s">
        <v>730</v>
      </c>
      <c r="M443">
        <f t="shared" si="47"/>
        <v>0.26609069774291955</v>
      </c>
      <c r="N443" t="s">
        <v>893</v>
      </c>
      <c r="O443" s="7">
        <v>1220.4100000000001</v>
      </c>
      <c r="P443" s="7">
        <v>2552.2199999999998</v>
      </c>
      <c r="Q443" s="12">
        <v>0.18099999999999999</v>
      </c>
      <c r="R443">
        <v>14</v>
      </c>
      <c r="S443">
        <f t="shared" si="41"/>
        <v>29263.754519999995</v>
      </c>
      <c r="T443">
        <f t="shared" si="42"/>
        <v>17085.740000000002</v>
      </c>
      <c r="U443">
        <f t="shared" si="43"/>
        <v>12178.014519999993</v>
      </c>
      <c r="V443">
        <f t="shared" si="44"/>
        <v>0.41614668793360271</v>
      </c>
    </row>
    <row r="444" spans="1:22" x14ac:dyDescent="0.25">
      <c r="A444" t="s">
        <v>444</v>
      </c>
      <c r="B444" s="14">
        <v>45784</v>
      </c>
      <c r="C444" s="14">
        <v>45790</v>
      </c>
      <c r="D444" s="7">
        <f t="shared" si="45"/>
        <v>6</v>
      </c>
      <c r="E444" s="5" t="str">
        <f t="shared" si="46"/>
        <v>Q2</v>
      </c>
      <c r="F444" t="s">
        <v>647</v>
      </c>
      <c r="G444" t="s">
        <v>654</v>
      </c>
      <c r="H444" t="s">
        <v>668</v>
      </c>
      <c r="I444" t="s">
        <v>706</v>
      </c>
      <c r="J444" t="s">
        <v>711</v>
      </c>
      <c r="K444" t="s">
        <v>713</v>
      </c>
      <c r="L444" t="s">
        <v>730</v>
      </c>
      <c r="M444">
        <f t="shared" si="47"/>
        <v>0.37406371872173</v>
      </c>
      <c r="N444" t="s">
        <v>1162</v>
      </c>
      <c r="O444" s="7">
        <v>935.98</v>
      </c>
      <c r="P444" s="7">
        <v>2077.69</v>
      </c>
      <c r="Q444" s="12">
        <v>0.17499999999999999</v>
      </c>
      <c r="R444">
        <v>24</v>
      </c>
      <c r="S444">
        <f t="shared" si="41"/>
        <v>41138.261999999995</v>
      </c>
      <c r="T444">
        <f t="shared" si="42"/>
        <v>22463.52</v>
      </c>
      <c r="U444">
        <f t="shared" si="43"/>
        <v>18674.741999999995</v>
      </c>
      <c r="V444">
        <f t="shared" si="44"/>
        <v>0.45395067978321491</v>
      </c>
    </row>
    <row r="445" spans="1:22" x14ac:dyDescent="0.25">
      <c r="A445" t="s">
        <v>286</v>
      </c>
      <c r="B445" s="14">
        <v>45707</v>
      </c>
      <c r="C445" s="14">
        <v>45725</v>
      </c>
      <c r="D445" s="7">
        <f t="shared" si="45"/>
        <v>18</v>
      </c>
      <c r="E445" s="5" t="str">
        <f t="shared" si="46"/>
        <v>Q1</v>
      </c>
      <c r="F445" t="s">
        <v>647</v>
      </c>
      <c r="G445" t="s">
        <v>654</v>
      </c>
      <c r="H445" t="s">
        <v>680</v>
      </c>
      <c r="I445" t="s">
        <v>705</v>
      </c>
      <c r="J445" t="s">
        <v>708</v>
      </c>
      <c r="K445" t="s">
        <v>719</v>
      </c>
      <c r="L445" t="s">
        <v>732</v>
      </c>
      <c r="M445">
        <f t="shared" si="47"/>
        <v>6.4746933402029222E-2</v>
      </c>
      <c r="N445" t="s">
        <v>1005</v>
      </c>
      <c r="O445" s="7">
        <v>325.87</v>
      </c>
      <c r="P445" s="7">
        <v>538.79</v>
      </c>
      <c r="Q445" s="12">
        <v>0.17399999999999999</v>
      </c>
      <c r="R445">
        <v>16</v>
      </c>
      <c r="S445">
        <f t="shared" si="41"/>
        <v>7120.6486400000003</v>
      </c>
      <c r="T445">
        <f t="shared" si="42"/>
        <v>5213.92</v>
      </c>
      <c r="U445">
        <f t="shared" si="43"/>
        <v>1906.7286400000003</v>
      </c>
      <c r="V445">
        <f t="shared" si="44"/>
        <v>0.26777457172778013</v>
      </c>
    </row>
    <row r="446" spans="1:22" x14ac:dyDescent="0.25">
      <c r="A446" t="s">
        <v>598</v>
      </c>
      <c r="B446" s="14">
        <v>45541</v>
      </c>
      <c r="C446" s="15">
        <v>45539</v>
      </c>
      <c r="D446" s="7">
        <f t="shared" si="45"/>
        <v>-2</v>
      </c>
      <c r="E446" s="5" t="str">
        <f t="shared" si="46"/>
        <v>Q3</v>
      </c>
      <c r="F446" t="s">
        <v>647</v>
      </c>
      <c r="G446" t="s">
        <v>652</v>
      </c>
      <c r="H446" t="s">
        <v>666</v>
      </c>
      <c r="I446" t="s">
        <v>701</v>
      </c>
      <c r="J446" t="s">
        <v>707</v>
      </c>
      <c r="K446" t="s">
        <v>720</v>
      </c>
      <c r="L446" t="s">
        <v>731</v>
      </c>
      <c r="M446">
        <f t="shared" si="47"/>
        <v>0.36883587783827698</v>
      </c>
      <c r="N446" t="s">
        <v>1315</v>
      </c>
      <c r="O446" s="7">
        <v>1368.17</v>
      </c>
      <c r="P446" s="7">
        <v>2307.75</v>
      </c>
      <c r="Q446" s="12">
        <v>0.16300000000000001</v>
      </c>
      <c r="R446">
        <v>21</v>
      </c>
      <c r="S446">
        <f t="shared" si="41"/>
        <v>40563.321749999996</v>
      </c>
      <c r="T446">
        <f t="shared" si="42"/>
        <v>28731.57</v>
      </c>
      <c r="U446">
        <f t="shared" si="43"/>
        <v>11831.751749999996</v>
      </c>
      <c r="V446">
        <f t="shared" si="44"/>
        <v>0.29168596750831921</v>
      </c>
    </row>
    <row r="447" spans="1:22" x14ac:dyDescent="0.25">
      <c r="A447" t="s">
        <v>639</v>
      </c>
      <c r="B447" s="14">
        <v>45141</v>
      </c>
      <c r="C447" s="15">
        <v>45140</v>
      </c>
      <c r="D447" s="7">
        <f t="shared" si="45"/>
        <v>-1</v>
      </c>
      <c r="E447" s="5" t="str">
        <f t="shared" si="46"/>
        <v>Q3</v>
      </c>
      <c r="F447" t="s">
        <v>647</v>
      </c>
      <c r="G447" t="s">
        <v>659</v>
      </c>
      <c r="H447" t="s">
        <v>685</v>
      </c>
      <c r="I447" t="s">
        <v>703</v>
      </c>
      <c r="J447" t="s">
        <v>711</v>
      </c>
      <c r="K447" t="s">
        <v>713</v>
      </c>
      <c r="L447" t="s">
        <v>729</v>
      </c>
      <c r="M447">
        <f t="shared" si="47"/>
        <v>0.45546407286481017</v>
      </c>
      <c r="N447" t="s">
        <v>1356</v>
      </c>
      <c r="O447" s="7">
        <v>1021.97</v>
      </c>
      <c r="P447" s="7">
        <v>2296.25</v>
      </c>
      <c r="Q447" s="12">
        <v>0.161</v>
      </c>
      <c r="R447">
        <v>26</v>
      </c>
      <c r="S447">
        <f t="shared" si="41"/>
        <v>50090.397499999999</v>
      </c>
      <c r="T447">
        <f t="shared" si="42"/>
        <v>26571.22</v>
      </c>
      <c r="U447">
        <f t="shared" si="43"/>
        <v>23519.177499999998</v>
      </c>
      <c r="V447">
        <f t="shared" si="44"/>
        <v>0.46953465482081669</v>
      </c>
    </row>
    <row r="448" spans="1:22" x14ac:dyDescent="0.25">
      <c r="A448" t="s">
        <v>435</v>
      </c>
      <c r="B448" s="14">
        <v>45211</v>
      </c>
      <c r="C448" s="14">
        <v>45228</v>
      </c>
      <c r="D448" s="7">
        <f t="shared" si="45"/>
        <v>17</v>
      </c>
      <c r="E448" s="5" t="str">
        <f t="shared" si="46"/>
        <v>Q4</v>
      </c>
      <c r="F448" t="s">
        <v>647</v>
      </c>
      <c r="G448" t="s">
        <v>652</v>
      </c>
      <c r="H448" t="s">
        <v>694</v>
      </c>
      <c r="I448" t="s">
        <v>703</v>
      </c>
      <c r="J448" t="s">
        <v>710</v>
      </c>
      <c r="K448" t="s">
        <v>722</v>
      </c>
      <c r="L448" t="s">
        <v>730</v>
      </c>
      <c r="M448">
        <f t="shared" si="47"/>
        <v>0.13209852159426824</v>
      </c>
      <c r="N448" t="s">
        <v>1153</v>
      </c>
      <c r="O448" s="7">
        <v>1102.19</v>
      </c>
      <c r="P448" s="7">
        <v>1711.16</v>
      </c>
      <c r="Q448" s="12">
        <v>0.151</v>
      </c>
      <c r="R448">
        <v>10</v>
      </c>
      <c r="S448">
        <f t="shared" si="41"/>
        <v>14527.748400000002</v>
      </c>
      <c r="T448">
        <f t="shared" si="42"/>
        <v>11021.900000000001</v>
      </c>
      <c r="U448">
        <f t="shared" si="43"/>
        <v>3505.8484000000008</v>
      </c>
      <c r="V448">
        <f t="shared" si="44"/>
        <v>0.24132083675127525</v>
      </c>
    </row>
    <row r="449" spans="1:22" x14ac:dyDescent="0.25">
      <c r="A449" t="s">
        <v>456</v>
      </c>
      <c r="B449" s="14">
        <v>45374</v>
      </c>
      <c r="C449" s="14">
        <v>45377</v>
      </c>
      <c r="D449" s="7">
        <f t="shared" si="45"/>
        <v>3</v>
      </c>
      <c r="E449" s="5" t="str">
        <f t="shared" si="46"/>
        <v>Q1</v>
      </c>
      <c r="F449" t="s">
        <v>647</v>
      </c>
      <c r="G449" t="s">
        <v>654</v>
      </c>
      <c r="H449" t="s">
        <v>668</v>
      </c>
      <c r="I449" t="s">
        <v>702</v>
      </c>
      <c r="J449" t="s">
        <v>709</v>
      </c>
      <c r="K449" t="s">
        <v>715</v>
      </c>
      <c r="L449" t="s">
        <v>730</v>
      </c>
      <c r="M449">
        <f t="shared" si="47"/>
        <v>0.11519273575072542</v>
      </c>
      <c r="N449" t="s">
        <v>1174</v>
      </c>
      <c r="O449" s="7">
        <v>382.21</v>
      </c>
      <c r="P449" s="7">
        <v>571.89</v>
      </c>
      <c r="Q449" s="12">
        <v>0.14799999999999999</v>
      </c>
      <c r="R449">
        <v>26</v>
      </c>
      <c r="S449">
        <f t="shared" si="41"/>
        <v>12668.50728</v>
      </c>
      <c r="T449">
        <f t="shared" si="42"/>
        <v>9937.4599999999991</v>
      </c>
      <c r="U449">
        <f t="shared" si="43"/>
        <v>2731.0472800000007</v>
      </c>
      <c r="V449">
        <f t="shared" si="44"/>
        <v>0.2155776698578809</v>
      </c>
    </row>
    <row r="450" spans="1:22" x14ac:dyDescent="0.25">
      <c r="A450" t="s">
        <v>452</v>
      </c>
      <c r="B450" s="14">
        <v>45037</v>
      </c>
      <c r="C450" s="15">
        <v>45035</v>
      </c>
      <c r="D450" s="7">
        <f t="shared" si="45"/>
        <v>-2</v>
      </c>
      <c r="E450" s="5" t="str">
        <f t="shared" si="46"/>
        <v>Q2</v>
      </c>
      <c r="F450" t="s">
        <v>647</v>
      </c>
      <c r="G450" t="s">
        <v>652</v>
      </c>
      <c r="H450" t="s">
        <v>694</v>
      </c>
      <c r="I450" t="s">
        <v>705</v>
      </c>
      <c r="J450" t="s">
        <v>709</v>
      </c>
      <c r="K450" t="s">
        <v>724</v>
      </c>
      <c r="L450" t="s">
        <v>727</v>
      </c>
      <c r="M450">
        <f t="shared" si="47"/>
        <v>6.6744999061287558E-2</v>
      </c>
      <c r="N450" t="s">
        <v>1170</v>
      </c>
      <c r="O450" s="7">
        <v>607.04</v>
      </c>
      <c r="P450" s="7">
        <v>1229.3399999999999</v>
      </c>
      <c r="Q450" s="12">
        <v>0.14699999999999999</v>
      </c>
      <c r="R450">
        <v>7</v>
      </c>
      <c r="S450">
        <f t="shared" ref="S450:S513" si="48">P450*R450*(1-Q450)</f>
        <v>7340.3891399999993</v>
      </c>
      <c r="T450">
        <f t="shared" ref="T450:T513" si="49">O450*R450</f>
        <v>4249.28</v>
      </c>
      <c r="U450">
        <f t="shared" ref="U450:U513" si="50">S450-T450</f>
        <v>3091.1091399999996</v>
      </c>
      <c r="V450">
        <f t="shared" ref="V450:V513" si="51">IF(S450=0,0,U450/S450)</f>
        <v>0.42110970972310058</v>
      </c>
    </row>
    <row r="451" spans="1:22" x14ac:dyDescent="0.25">
      <c r="A451" t="s">
        <v>111</v>
      </c>
      <c r="B451" s="14">
        <v>45870</v>
      </c>
      <c r="C451" s="14">
        <v>45885</v>
      </c>
      <c r="D451" s="7">
        <f t="shared" ref="D451:D514" si="52">C451-B451</f>
        <v>15</v>
      </c>
      <c r="E451" s="5" t="str">
        <f t="shared" ref="E451:E514" si="53">IF(AND(MONTH(B451)&gt;=1,MONTH(B451)&lt;=3),"Q1", IF(AND(MONTH(B451)&gt;=4,MONTH(B451)&lt;=6), "Q2", IF(AND(MONTH(B451)&gt;=7,MONTH(B451)&lt;=9),"Q3", IF(AND(MONTH(B451)&gt;=10,MONTH(B451)&lt;=12),"Q4"))))</f>
        <v>Q3</v>
      </c>
      <c r="F451" t="s">
        <v>647</v>
      </c>
      <c r="G451" t="s">
        <v>654</v>
      </c>
      <c r="H451" t="s">
        <v>1430</v>
      </c>
      <c r="I451" t="s">
        <v>706</v>
      </c>
      <c r="J451" t="s">
        <v>707</v>
      </c>
      <c r="K451" t="s">
        <v>719</v>
      </c>
      <c r="L451" t="s">
        <v>732</v>
      </c>
      <c r="M451">
        <f t="shared" ref="M451:M514" si="54">(S451/$S$634)*100</f>
        <v>1.3367165237512431E-3</v>
      </c>
      <c r="N451" t="s">
        <v>830</v>
      </c>
      <c r="O451" s="7">
        <v>24.44</v>
      </c>
      <c r="P451" s="7">
        <v>28.69</v>
      </c>
      <c r="Q451" s="12">
        <v>0.14599999999999999</v>
      </c>
      <c r="R451">
        <v>6</v>
      </c>
      <c r="S451">
        <f t="shared" si="48"/>
        <v>147.00756000000001</v>
      </c>
      <c r="T451">
        <f t="shared" si="49"/>
        <v>146.64000000000001</v>
      </c>
      <c r="U451">
        <f t="shared" si="50"/>
        <v>0.36755999999999744</v>
      </c>
      <c r="V451">
        <f t="shared" si="51"/>
        <v>2.5002795774584476E-3</v>
      </c>
    </row>
    <row r="452" spans="1:22" x14ac:dyDescent="0.25">
      <c r="A452" t="s">
        <v>472</v>
      </c>
      <c r="B452" s="14">
        <v>45048</v>
      </c>
      <c r="C452" s="14">
        <v>45065</v>
      </c>
      <c r="D452" s="7">
        <f t="shared" si="52"/>
        <v>17</v>
      </c>
      <c r="E452" s="5" t="str">
        <f t="shared" si="53"/>
        <v>Q2</v>
      </c>
      <c r="F452" t="s">
        <v>647</v>
      </c>
      <c r="G452" t="s">
        <v>659</v>
      </c>
      <c r="H452" t="s">
        <v>685</v>
      </c>
      <c r="I452" t="s">
        <v>703</v>
      </c>
      <c r="J452" t="s">
        <v>708</v>
      </c>
      <c r="K452" t="s">
        <v>713</v>
      </c>
      <c r="L452" t="s">
        <v>732</v>
      </c>
      <c r="M452">
        <f t="shared" si="54"/>
        <v>7.1421483918916853E-2</v>
      </c>
      <c r="N452" t="s">
        <v>1190</v>
      </c>
      <c r="O452" s="7">
        <v>714.28</v>
      </c>
      <c r="P452" s="7">
        <v>757.59</v>
      </c>
      <c r="Q452" s="12">
        <v>0.13600000000000001</v>
      </c>
      <c r="R452">
        <v>12</v>
      </c>
      <c r="S452">
        <f t="shared" si="48"/>
        <v>7854.6931199999999</v>
      </c>
      <c r="T452">
        <f t="shared" si="49"/>
        <v>8571.36</v>
      </c>
      <c r="U452">
        <f t="shared" si="50"/>
        <v>-716.66688000000067</v>
      </c>
      <c r="V452">
        <f t="shared" si="51"/>
        <v>-9.1240595787910383E-2</v>
      </c>
    </row>
    <row r="453" spans="1:22" x14ac:dyDescent="0.25">
      <c r="A453" t="s">
        <v>257</v>
      </c>
      <c r="B453" s="14">
        <v>45871</v>
      </c>
      <c r="C453" s="14">
        <v>45877</v>
      </c>
      <c r="D453" s="7">
        <f t="shared" si="52"/>
        <v>6</v>
      </c>
      <c r="E453" s="5" t="str">
        <f t="shared" si="53"/>
        <v>Q3</v>
      </c>
      <c r="F453" t="s">
        <v>647</v>
      </c>
      <c r="G453" t="s">
        <v>652</v>
      </c>
      <c r="H453" t="s">
        <v>666</v>
      </c>
      <c r="I453" t="s">
        <v>704</v>
      </c>
      <c r="J453" t="s">
        <v>710</v>
      </c>
      <c r="K453" t="s">
        <v>725</v>
      </c>
      <c r="L453" t="s">
        <v>731</v>
      </c>
      <c r="M453">
        <f t="shared" si="54"/>
        <v>0.30991010490252979</v>
      </c>
      <c r="N453" t="s">
        <v>976</v>
      </c>
      <c r="O453" s="7">
        <v>1225.94</v>
      </c>
      <c r="P453" s="7">
        <v>1793.08</v>
      </c>
      <c r="Q453" s="12">
        <v>0.13600000000000001</v>
      </c>
      <c r="R453">
        <v>22</v>
      </c>
      <c r="S453">
        <f t="shared" si="48"/>
        <v>34082.864639999993</v>
      </c>
      <c r="T453">
        <f t="shared" si="49"/>
        <v>26970.68</v>
      </c>
      <c r="U453">
        <f t="shared" si="50"/>
        <v>7112.1846399999922</v>
      </c>
      <c r="V453">
        <f t="shared" si="51"/>
        <v>0.20867332353434462</v>
      </c>
    </row>
    <row r="454" spans="1:22" x14ac:dyDescent="0.25">
      <c r="A454" t="s">
        <v>52</v>
      </c>
      <c r="B454" s="14">
        <v>45832</v>
      </c>
      <c r="C454" s="14">
        <v>45848</v>
      </c>
      <c r="D454" s="7">
        <f t="shared" si="52"/>
        <v>16</v>
      </c>
      <c r="E454" s="5" t="str">
        <f t="shared" si="53"/>
        <v>Q2</v>
      </c>
      <c r="F454" t="s">
        <v>647</v>
      </c>
      <c r="G454" t="s">
        <v>659</v>
      </c>
      <c r="H454" t="s">
        <v>685</v>
      </c>
      <c r="I454" t="s">
        <v>706</v>
      </c>
      <c r="J454" t="s">
        <v>707</v>
      </c>
      <c r="K454" t="s">
        <v>725</v>
      </c>
      <c r="L454" t="s">
        <v>727</v>
      </c>
      <c r="M454">
        <f t="shared" si="54"/>
        <v>0.10907004000204816</v>
      </c>
      <c r="N454" t="s">
        <v>771</v>
      </c>
      <c r="O454" s="7">
        <v>757.19</v>
      </c>
      <c r="P454" s="7">
        <v>1735.41</v>
      </c>
      <c r="Q454" s="12">
        <v>0.13600000000000001</v>
      </c>
      <c r="R454">
        <v>8</v>
      </c>
      <c r="S454">
        <f t="shared" si="48"/>
        <v>11995.153920000001</v>
      </c>
      <c r="T454">
        <f t="shared" si="49"/>
        <v>6057.52</v>
      </c>
      <c r="U454">
        <f t="shared" si="50"/>
        <v>5937.6339200000002</v>
      </c>
      <c r="V454">
        <f t="shared" si="51"/>
        <v>0.4950027285685718</v>
      </c>
    </row>
    <row r="455" spans="1:22" x14ac:dyDescent="0.25">
      <c r="A455" t="s">
        <v>504</v>
      </c>
      <c r="B455" s="14">
        <v>45792</v>
      </c>
      <c r="C455" s="14">
        <v>45813</v>
      </c>
      <c r="D455" s="7">
        <f t="shared" si="52"/>
        <v>21</v>
      </c>
      <c r="E455" s="5" t="str">
        <f t="shared" si="53"/>
        <v>Q2</v>
      </c>
      <c r="F455" t="s">
        <v>647</v>
      </c>
      <c r="G455" t="s">
        <v>652</v>
      </c>
      <c r="H455" t="s">
        <v>666</v>
      </c>
      <c r="I455" t="s">
        <v>706</v>
      </c>
      <c r="J455" t="s">
        <v>710</v>
      </c>
      <c r="K455" t="s">
        <v>722</v>
      </c>
      <c r="L455" t="s">
        <v>730</v>
      </c>
      <c r="M455">
        <f t="shared" si="54"/>
        <v>8.7422587990042891E-2</v>
      </c>
      <c r="N455" t="s">
        <v>1222</v>
      </c>
      <c r="O455" s="7">
        <v>1466.5</v>
      </c>
      <c r="P455" s="7">
        <v>2778.74</v>
      </c>
      <c r="Q455" s="12">
        <v>0.13500000000000001</v>
      </c>
      <c r="R455">
        <v>4</v>
      </c>
      <c r="S455">
        <f t="shared" si="48"/>
        <v>9614.4403999999995</v>
      </c>
      <c r="T455">
        <f t="shared" si="49"/>
        <v>5866</v>
      </c>
      <c r="U455">
        <f t="shared" si="50"/>
        <v>3748.4403999999995</v>
      </c>
      <c r="V455">
        <f t="shared" si="51"/>
        <v>0.38987608680792279</v>
      </c>
    </row>
    <row r="456" spans="1:22" x14ac:dyDescent="0.25">
      <c r="A456" t="s">
        <v>227</v>
      </c>
      <c r="B456" s="14">
        <v>45544</v>
      </c>
      <c r="C456" s="14">
        <v>45566</v>
      </c>
      <c r="D456" s="7">
        <f t="shared" si="52"/>
        <v>22</v>
      </c>
      <c r="E456" s="5" t="str">
        <f t="shared" si="53"/>
        <v>Q3</v>
      </c>
      <c r="F456" t="s">
        <v>647</v>
      </c>
      <c r="G456" t="s">
        <v>659</v>
      </c>
      <c r="H456" t="s">
        <v>676</v>
      </c>
      <c r="I456" t="s">
        <v>704</v>
      </c>
      <c r="J456" t="s">
        <v>711</v>
      </c>
      <c r="K456" t="s">
        <v>716</v>
      </c>
      <c r="L456" t="s">
        <v>728</v>
      </c>
      <c r="M456">
        <f t="shared" si="54"/>
        <v>6.3511907222953884E-2</v>
      </c>
      <c r="N456" t="s">
        <v>946</v>
      </c>
      <c r="O456" s="7">
        <v>1166.18</v>
      </c>
      <c r="P456" s="7">
        <v>1335.02</v>
      </c>
      <c r="Q456" s="12">
        <v>0.128</v>
      </c>
      <c r="R456">
        <v>6</v>
      </c>
      <c r="S456">
        <f t="shared" si="48"/>
        <v>6984.8246399999998</v>
      </c>
      <c r="T456">
        <f t="shared" si="49"/>
        <v>6997.08</v>
      </c>
      <c r="U456">
        <f t="shared" si="50"/>
        <v>-12.25536000000011</v>
      </c>
      <c r="V456">
        <f t="shared" si="51"/>
        <v>-1.7545694604582242E-3</v>
      </c>
    </row>
    <row r="457" spans="1:22" x14ac:dyDescent="0.25">
      <c r="A457" t="s">
        <v>575</v>
      </c>
      <c r="B457" s="14">
        <v>45299</v>
      </c>
      <c r="C457" s="14">
        <v>45303</v>
      </c>
      <c r="D457" s="7">
        <f t="shared" si="52"/>
        <v>4</v>
      </c>
      <c r="E457" s="5" t="str">
        <f t="shared" si="53"/>
        <v>Q1</v>
      </c>
      <c r="F457" t="s">
        <v>647</v>
      </c>
      <c r="G457" t="s">
        <v>654</v>
      </c>
      <c r="H457" t="s">
        <v>668</v>
      </c>
      <c r="I457" t="s">
        <v>701</v>
      </c>
      <c r="J457" t="s">
        <v>710</v>
      </c>
      <c r="K457" t="s">
        <v>718</v>
      </c>
      <c r="L457" t="s">
        <v>728</v>
      </c>
      <c r="M457">
        <f t="shared" si="54"/>
        <v>0.12049361461518794</v>
      </c>
      <c r="N457" t="s">
        <v>1292</v>
      </c>
      <c r="O457" s="7">
        <v>802.32</v>
      </c>
      <c r="P457" s="7">
        <v>602.34</v>
      </c>
      <c r="Q457" s="12">
        <v>0.12</v>
      </c>
      <c r="R457">
        <v>25</v>
      </c>
      <c r="S457">
        <f t="shared" si="48"/>
        <v>13251.48</v>
      </c>
      <c r="T457">
        <f t="shared" si="49"/>
        <v>20058</v>
      </c>
      <c r="U457">
        <f t="shared" si="50"/>
        <v>-6806.52</v>
      </c>
      <c r="V457">
        <f t="shared" si="51"/>
        <v>-0.51364224977134632</v>
      </c>
    </row>
    <row r="458" spans="1:22" x14ac:dyDescent="0.25">
      <c r="A458" t="s">
        <v>468</v>
      </c>
      <c r="B458" s="14">
        <v>45817</v>
      </c>
      <c r="C458" s="14">
        <v>45832</v>
      </c>
      <c r="D458" s="7">
        <f t="shared" si="52"/>
        <v>15</v>
      </c>
      <c r="E458" s="5" t="str">
        <f t="shared" si="53"/>
        <v>Q2</v>
      </c>
      <c r="F458" t="s">
        <v>647</v>
      </c>
      <c r="G458" t="s">
        <v>652</v>
      </c>
      <c r="H458" t="s">
        <v>694</v>
      </c>
      <c r="I458" t="s">
        <v>701</v>
      </c>
      <c r="J458" t="s">
        <v>708</v>
      </c>
      <c r="K458" t="s">
        <v>717</v>
      </c>
      <c r="L458" t="s">
        <v>730</v>
      </c>
      <c r="M458">
        <f t="shared" si="54"/>
        <v>0.10897672316469091</v>
      </c>
      <c r="N458" t="s">
        <v>1186</v>
      </c>
      <c r="O458" s="7">
        <v>400.39</v>
      </c>
      <c r="P458" s="7">
        <v>712.75</v>
      </c>
      <c r="Q458" s="12">
        <v>0.115</v>
      </c>
      <c r="R458">
        <v>19</v>
      </c>
      <c r="S458">
        <f t="shared" si="48"/>
        <v>11984.891250000001</v>
      </c>
      <c r="T458">
        <f t="shared" si="49"/>
        <v>7607.41</v>
      </c>
      <c r="U458">
        <f t="shared" si="50"/>
        <v>4377.4812500000007</v>
      </c>
      <c r="V458">
        <f t="shared" si="51"/>
        <v>0.36524997671547504</v>
      </c>
    </row>
    <row r="459" spans="1:22" x14ac:dyDescent="0.25">
      <c r="A459" t="s">
        <v>640</v>
      </c>
      <c r="B459" s="14">
        <v>45249</v>
      </c>
      <c r="C459" s="14">
        <v>45272</v>
      </c>
      <c r="D459" s="7">
        <f t="shared" si="52"/>
        <v>23</v>
      </c>
      <c r="E459" s="5" t="str">
        <f t="shared" si="53"/>
        <v>Q4</v>
      </c>
      <c r="F459" t="s">
        <v>647</v>
      </c>
      <c r="G459" t="s">
        <v>654</v>
      </c>
      <c r="H459" t="s">
        <v>680</v>
      </c>
      <c r="I459" t="s">
        <v>705</v>
      </c>
      <c r="J459" t="s">
        <v>708</v>
      </c>
      <c r="K459" t="s">
        <v>712</v>
      </c>
      <c r="L459" t="s">
        <v>729</v>
      </c>
      <c r="M459">
        <f t="shared" si="54"/>
        <v>0.29737581999201557</v>
      </c>
      <c r="N459" t="s">
        <v>1357</v>
      </c>
      <c r="O459" s="7">
        <v>1349.04</v>
      </c>
      <c r="P459" s="7">
        <v>2636.6</v>
      </c>
      <c r="Q459" s="12">
        <v>0.114</v>
      </c>
      <c r="R459">
        <v>14</v>
      </c>
      <c r="S459">
        <f t="shared" si="48"/>
        <v>32704.386400000003</v>
      </c>
      <c r="T459">
        <f t="shared" si="49"/>
        <v>18886.559999999998</v>
      </c>
      <c r="U459">
        <f t="shared" si="50"/>
        <v>13817.826400000005</v>
      </c>
      <c r="V459">
        <f t="shared" si="51"/>
        <v>0.42250682312143928</v>
      </c>
    </row>
    <row r="460" spans="1:22" x14ac:dyDescent="0.25">
      <c r="A460" t="s">
        <v>90</v>
      </c>
      <c r="B460" s="14">
        <v>45187</v>
      </c>
      <c r="C460" s="14">
        <v>45207</v>
      </c>
      <c r="D460" s="7">
        <f t="shared" si="52"/>
        <v>20</v>
      </c>
      <c r="E460" s="5" t="str">
        <f t="shared" si="53"/>
        <v>Q3</v>
      </c>
      <c r="F460" t="s">
        <v>647</v>
      </c>
      <c r="G460" t="s">
        <v>654</v>
      </c>
      <c r="H460" t="s">
        <v>680</v>
      </c>
      <c r="I460" t="s">
        <v>705</v>
      </c>
      <c r="J460" t="s">
        <v>708</v>
      </c>
      <c r="K460" t="s">
        <v>717</v>
      </c>
      <c r="L460" t="s">
        <v>727</v>
      </c>
      <c r="M460">
        <f t="shared" si="54"/>
        <v>6.2508586845511221E-2</v>
      </c>
      <c r="N460" t="s">
        <v>809</v>
      </c>
      <c r="O460" s="7">
        <v>825.64</v>
      </c>
      <c r="P460" s="7">
        <v>1108.43</v>
      </c>
      <c r="Q460" s="12">
        <v>0.114</v>
      </c>
      <c r="R460">
        <v>7</v>
      </c>
      <c r="S460">
        <f t="shared" si="48"/>
        <v>6874.4828600000001</v>
      </c>
      <c r="T460">
        <f t="shared" si="49"/>
        <v>5779.48</v>
      </c>
      <c r="U460">
        <f t="shared" si="50"/>
        <v>1095.0028600000005</v>
      </c>
      <c r="V460">
        <f t="shared" si="51"/>
        <v>0.15928512475773349</v>
      </c>
    </row>
    <row r="461" spans="1:22" x14ac:dyDescent="0.25">
      <c r="A461" t="s">
        <v>524</v>
      </c>
      <c r="B461" s="14">
        <v>45608</v>
      </c>
      <c r="C461" s="14">
        <v>45617</v>
      </c>
      <c r="D461" s="7">
        <f t="shared" si="52"/>
        <v>9</v>
      </c>
      <c r="E461" s="5" t="str">
        <f t="shared" si="53"/>
        <v>Q4</v>
      </c>
      <c r="F461" t="s">
        <v>647</v>
      </c>
      <c r="G461" t="s">
        <v>654</v>
      </c>
      <c r="H461" t="s">
        <v>691</v>
      </c>
      <c r="I461" t="s">
        <v>701</v>
      </c>
      <c r="J461" t="s">
        <v>707</v>
      </c>
      <c r="K461" t="s">
        <v>722</v>
      </c>
      <c r="L461" t="s">
        <v>731</v>
      </c>
      <c r="M461">
        <f t="shared" si="54"/>
        <v>7.5447207710039835E-2</v>
      </c>
      <c r="N461" t="s">
        <v>1242</v>
      </c>
      <c r="O461" s="7">
        <v>903.41</v>
      </c>
      <c r="P461" s="7">
        <v>1860.41</v>
      </c>
      <c r="Q461" s="12">
        <v>0.108</v>
      </c>
      <c r="R461">
        <v>5</v>
      </c>
      <c r="S461">
        <f t="shared" si="48"/>
        <v>8297.4286000000011</v>
      </c>
      <c r="T461">
        <f t="shared" si="49"/>
        <v>4517.05</v>
      </c>
      <c r="U461">
        <f t="shared" si="50"/>
        <v>3780.3786000000009</v>
      </c>
      <c r="V461">
        <f t="shared" si="51"/>
        <v>0.455608451996803</v>
      </c>
    </row>
    <row r="462" spans="1:22" x14ac:dyDescent="0.25">
      <c r="A462" t="s">
        <v>382</v>
      </c>
      <c r="B462" s="14">
        <v>45731</v>
      </c>
      <c r="C462" s="14">
        <v>45745</v>
      </c>
      <c r="D462" s="7">
        <f t="shared" si="52"/>
        <v>14</v>
      </c>
      <c r="E462" s="5" t="str">
        <f t="shared" si="53"/>
        <v>Q1</v>
      </c>
      <c r="F462" t="s">
        <v>647</v>
      </c>
      <c r="G462" t="s">
        <v>654</v>
      </c>
      <c r="H462" t="s">
        <v>691</v>
      </c>
      <c r="I462" t="s">
        <v>706</v>
      </c>
      <c r="J462" t="s">
        <v>710</v>
      </c>
      <c r="K462" t="s">
        <v>712</v>
      </c>
      <c r="L462" t="s">
        <v>727</v>
      </c>
      <c r="M462">
        <f t="shared" si="54"/>
        <v>0.16871195854015469</v>
      </c>
      <c r="N462" t="s">
        <v>1101</v>
      </c>
      <c r="O462" s="7">
        <v>935.83</v>
      </c>
      <c r="P462" s="7">
        <v>2303.46</v>
      </c>
      <c r="Q462" s="12">
        <v>0.105</v>
      </c>
      <c r="R462">
        <v>9</v>
      </c>
      <c r="S462">
        <f t="shared" si="48"/>
        <v>18554.370299999999</v>
      </c>
      <c r="T462">
        <f t="shared" si="49"/>
        <v>8422.4700000000012</v>
      </c>
      <c r="U462">
        <f t="shared" si="50"/>
        <v>10131.900299999998</v>
      </c>
      <c r="V462">
        <f t="shared" si="51"/>
        <v>0.54606543559174292</v>
      </c>
    </row>
    <row r="463" spans="1:22" x14ac:dyDescent="0.25">
      <c r="A463" t="s">
        <v>255</v>
      </c>
      <c r="B463" s="14">
        <v>45188</v>
      </c>
      <c r="C463" s="14">
        <v>45207</v>
      </c>
      <c r="D463" s="7">
        <f t="shared" si="52"/>
        <v>19</v>
      </c>
      <c r="E463" s="5" t="str">
        <f t="shared" si="53"/>
        <v>Q3</v>
      </c>
      <c r="F463" t="s">
        <v>647</v>
      </c>
      <c r="G463" t="s">
        <v>654</v>
      </c>
      <c r="H463" t="s">
        <v>668</v>
      </c>
      <c r="I463" t="s">
        <v>702</v>
      </c>
      <c r="J463" t="s">
        <v>710</v>
      </c>
      <c r="K463" t="s">
        <v>713</v>
      </c>
      <c r="L463" t="s">
        <v>728</v>
      </c>
      <c r="M463">
        <f t="shared" si="54"/>
        <v>4.0341567838143397E-2</v>
      </c>
      <c r="N463" t="s">
        <v>974</v>
      </c>
      <c r="O463" s="7">
        <v>385.32</v>
      </c>
      <c r="P463" s="7">
        <v>606.76</v>
      </c>
      <c r="Q463" s="12">
        <v>8.5999999999999993E-2</v>
      </c>
      <c r="R463">
        <v>8</v>
      </c>
      <c r="S463">
        <f t="shared" si="48"/>
        <v>4436.6291200000005</v>
      </c>
      <c r="T463">
        <f t="shared" si="49"/>
        <v>3082.56</v>
      </c>
      <c r="U463">
        <f t="shared" si="50"/>
        <v>1354.0691200000006</v>
      </c>
      <c r="V463">
        <f t="shared" si="51"/>
        <v>0.30520223425842735</v>
      </c>
    </row>
    <row r="464" spans="1:22" x14ac:dyDescent="0.25">
      <c r="A464" t="s">
        <v>461</v>
      </c>
      <c r="B464" s="14">
        <v>45284</v>
      </c>
      <c r="C464" s="14">
        <v>45304</v>
      </c>
      <c r="D464" s="7">
        <f t="shared" si="52"/>
        <v>20</v>
      </c>
      <c r="E464" s="5" t="str">
        <f t="shared" si="53"/>
        <v>Q4</v>
      </c>
      <c r="F464" t="s">
        <v>647</v>
      </c>
      <c r="G464" t="s">
        <v>652</v>
      </c>
      <c r="H464" t="s">
        <v>694</v>
      </c>
      <c r="I464" t="s">
        <v>702</v>
      </c>
      <c r="J464" t="s">
        <v>711</v>
      </c>
      <c r="K464" t="s">
        <v>717</v>
      </c>
      <c r="L464" t="s">
        <v>731</v>
      </c>
      <c r="M464">
        <f t="shared" si="54"/>
        <v>8.8850236207752328E-2</v>
      </c>
      <c r="N464" t="s">
        <v>1179</v>
      </c>
      <c r="O464" s="7">
        <v>625.37</v>
      </c>
      <c r="P464" s="7">
        <v>1319.04</v>
      </c>
      <c r="Q464" s="12">
        <v>7.3999999999999996E-2</v>
      </c>
      <c r="R464">
        <v>8</v>
      </c>
      <c r="S464">
        <f t="shared" si="48"/>
        <v>9771.4483199999995</v>
      </c>
      <c r="T464">
        <f t="shared" si="49"/>
        <v>5002.96</v>
      </c>
      <c r="U464">
        <f t="shared" si="50"/>
        <v>4768.4883199999995</v>
      </c>
      <c r="V464">
        <f t="shared" si="51"/>
        <v>0.48800220436513547</v>
      </c>
    </row>
    <row r="465" spans="1:22" x14ac:dyDescent="0.25">
      <c r="A465" t="s">
        <v>105</v>
      </c>
      <c r="B465" s="14">
        <v>45775</v>
      </c>
      <c r="C465" s="14">
        <v>45792</v>
      </c>
      <c r="D465" s="7">
        <f t="shared" si="52"/>
        <v>17</v>
      </c>
      <c r="E465" s="5" t="str">
        <f t="shared" si="53"/>
        <v>Q2</v>
      </c>
      <c r="F465" t="s">
        <v>647</v>
      </c>
      <c r="G465" t="s">
        <v>652</v>
      </c>
      <c r="H465" t="s">
        <v>694</v>
      </c>
      <c r="I465" t="s">
        <v>702</v>
      </c>
      <c r="J465" t="s">
        <v>707</v>
      </c>
      <c r="K465" t="s">
        <v>725</v>
      </c>
      <c r="L465" t="s">
        <v>729</v>
      </c>
      <c r="M465">
        <f t="shared" si="54"/>
        <v>7.5696387953674102E-2</v>
      </c>
      <c r="N465" t="s">
        <v>824</v>
      </c>
      <c r="O465" s="7">
        <v>691.19</v>
      </c>
      <c r="P465" s="7">
        <v>1284.3</v>
      </c>
      <c r="Q465" s="12">
        <v>7.3999999999999996E-2</v>
      </c>
      <c r="R465">
        <v>7</v>
      </c>
      <c r="S465">
        <f t="shared" si="48"/>
        <v>8324.8326000000015</v>
      </c>
      <c r="T465">
        <f t="shared" si="49"/>
        <v>4838.33</v>
      </c>
      <c r="U465">
        <f t="shared" si="50"/>
        <v>3486.5026000000016</v>
      </c>
      <c r="V465">
        <f t="shared" si="51"/>
        <v>0.41880753253825198</v>
      </c>
    </row>
    <row r="466" spans="1:22" x14ac:dyDescent="0.25">
      <c r="A466" t="s">
        <v>429</v>
      </c>
      <c r="B466" s="14">
        <v>45449</v>
      </c>
      <c r="C466" s="14">
        <v>45467</v>
      </c>
      <c r="D466" s="7">
        <f t="shared" si="52"/>
        <v>18</v>
      </c>
      <c r="E466" s="5" t="str">
        <f t="shared" si="53"/>
        <v>Q2</v>
      </c>
      <c r="F466" t="s">
        <v>647</v>
      </c>
      <c r="G466" t="s">
        <v>654</v>
      </c>
      <c r="H466" t="s">
        <v>668</v>
      </c>
      <c r="I466" t="s">
        <v>705</v>
      </c>
      <c r="J466" t="s">
        <v>707</v>
      </c>
      <c r="K466" t="s">
        <v>722</v>
      </c>
      <c r="L466" t="s">
        <v>729</v>
      </c>
      <c r="M466">
        <f t="shared" si="54"/>
        <v>0.28654657826802327</v>
      </c>
      <c r="N466" t="s">
        <v>1147</v>
      </c>
      <c r="O466" s="7">
        <v>1253.25</v>
      </c>
      <c r="P466" s="7">
        <v>3087.13</v>
      </c>
      <c r="Q466" s="12">
        <v>7.1999999999999995E-2</v>
      </c>
      <c r="R466">
        <v>11</v>
      </c>
      <c r="S466">
        <f t="shared" si="48"/>
        <v>31513.423040000001</v>
      </c>
      <c r="T466">
        <f t="shared" si="49"/>
        <v>13785.75</v>
      </c>
      <c r="U466">
        <f t="shared" si="50"/>
        <v>17727.673040000001</v>
      </c>
      <c r="V466">
        <f t="shared" si="51"/>
        <v>0.562543555408064</v>
      </c>
    </row>
    <row r="467" spans="1:22" x14ac:dyDescent="0.25">
      <c r="A467" t="s">
        <v>420</v>
      </c>
      <c r="B467" s="14">
        <v>44991</v>
      </c>
      <c r="C467" s="14">
        <v>45020</v>
      </c>
      <c r="D467" s="7">
        <f t="shared" si="52"/>
        <v>29</v>
      </c>
      <c r="E467" s="5" t="str">
        <f t="shared" si="53"/>
        <v>Q1</v>
      </c>
      <c r="F467" t="s">
        <v>647</v>
      </c>
      <c r="G467" t="s">
        <v>659</v>
      </c>
      <c r="H467" t="s">
        <v>699</v>
      </c>
      <c r="I467" t="s">
        <v>705</v>
      </c>
      <c r="J467" t="s">
        <v>708</v>
      </c>
      <c r="K467" t="s">
        <v>712</v>
      </c>
      <c r="L467" t="s">
        <v>732</v>
      </c>
      <c r="M467">
        <f t="shared" si="54"/>
        <v>0.12218324870785244</v>
      </c>
      <c r="N467" t="s">
        <v>1138</v>
      </c>
      <c r="O467" s="7">
        <v>1126.29</v>
      </c>
      <c r="P467" s="7">
        <v>2050.87</v>
      </c>
      <c r="Q467" s="12">
        <v>6.4000000000000001E-2</v>
      </c>
      <c r="R467">
        <v>7</v>
      </c>
      <c r="S467">
        <f t="shared" si="48"/>
        <v>13437.300239999999</v>
      </c>
      <c r="T467">
        <f t="shared" si="49"/>
        <v>7884.03</v>
      </c>
      <c r="U467">
        <f t="shared" si="50"/>
        <v>5553.2702399999989</v>
      </c>
      <c r="V467">
        <f t="shared" si="51"/>
        <v>0.41327276616690373</v>
      </c>
    </row>
    <row r="468" spans="1:22" x14ac:dyDescent="0.25">
      <c r="A468" t="s">
        <v>196</v>
      </c>
      <c r="B468" s="14">
        <v>45568</v>
      </c>
      <c r="C468" s="14">
        <v>45576</v>
      </c>
      <c r="D468" s="7">
        <f t="shared" si="52"/>
        <v>8</v>
      </c>
      <c r="E468" s="5" t="str">
        <f t="shared" si="53"/>
        <v>Q4</v>
      </c>
      <c r="F468" t="s">
        <v>647</v>
      </c>
      <c r="G468" t="s">
        <v>659</v>
      </c>
      <c r="H468" t="s">
        <v>699</v>
      </c>
      <c r="I468" t="s">
        <v>706</v>
      </c>
      <c r="J468" t="s">
        <v>707</v>
      </c>
      <c r="K468" t="s">
        <v>717</v>
      </c>
      <c r="L468" t="s">
        <v>730</v>
      </c>
      <c r="M468">
        <f t="shared" si="54"/>
        <v>0.37600944325427582</v>
      </c>
      <c r="N468" t="s">
        <v>915</v>
      </c>
      <c r="O468" s="7">
        <v>1132.6099999999999</v>
      </c>
      <c r="P468" s="7">
        <v>2206.63</v>
      </c>
      <c r="Q468" s="12">
        <v>6.3E-2</v>
      </c>
      <c r="R468">
        <v>20</v>
      </c>
      <c r="S468">
        <f t="shared" si="48"/>
        <v>41352.246200000009</v>
      </c>
      <c r="T468">
        <f t="shared" si="49"/>
        <v>22652.199999999997</v>
      </c>
      <c r="U468">
        <f t="shared" si="50"/>
        <v>18700.046200000012</v>
      </c>
      <c r="V468">
        <f t="shared" si="51"/>
        <v>0.45221355351671338</v>
      </c>
    </row>
    <row r="469" spans="1:22" x14ac:dyDescent="0.25">
      <c r="A469" t="s">
        <v>88</v>
      </c>
      <c r="B469" s="14">
        <v>45641</v>
      </c>
      <c r="C469" s="14">
        <v>45646</v>
      </c>
      <c r="D469" s="7">
        <f t="shared" si="52"/>
        <v>5</v>
      </c>
      <c r="E469" s="5" t="str">
        <f t="shared" si="53"/>
        <v>Q4</v>
      </c>
      <c r="F469" t="s">
        <v>647</v>
      </c>
      <c r="G469" t="s">
        <v>659</v>
      </c>
      <c r="H469" t="s">
        <v>676</v>
      </c>
      <c r="I469" t="s">
        <v>705</v>
      </c>
      <c r="J469" t="s">
        <v>711</v>
      </c>
      <c r="K469" t="s">
        <v>713</v>
      </c>
      <c r="L469" t="s">
        <v>729</v>
      </c>
      <c r="M469">
        <f t="shared" si="54"/>
        <v>8.5231393275277539E-2</v>
      </c>
      <c r="N469" t="s">
        <v>807</v>
      </c>
      <c r="O469" s="7">
        <v>717.55</v>
      </c>
      <c r="P469" s="7">
        <v>546.42999999999995</v>
      </c>
      <c r="Q469" s="12">
        <v>4.7E-2</v>
      </c>
      <c r="R469">
        <v>18</v>
      </c>
      <c r="S469">
        <f t="shared" si="48"/>
        <v>9373.460219999999</v>
      </c>
      <c r="T469">
        <f t="shared" si="49"/>
        <v>12915.9</v>
      </c>
      <c r="U469">
        <f t="shared" si="50"/>
        <v>-3542.4397800000006</v>
      </c>
      <c r="V469">
        <f t="shared" si="51"/>
        <v>-0.37792231437026369</v>
      </c>
    </row>
    <row r="470" spans="1:22" x14ac:dyDescent="0.25">
      <c r="A470" t="s">
        <v>341</v>
      </c>
      <c r="B470" s="14">
        <v>45303</v>
      </c>
      <c r="C470" s="14">
        <v>45320</v>
      </c>
      <c r="D470" s="7">
        <f t="shared" si="52"/>
        <v>17</v>
      </c>
      <c r="E470" s="5" t="str">
        <f t="shared" si="53"/>
        <v>Q1</v>
      </c>
      <c r="F470" t="s">
        <v>647</v>
      </c>
      <c r="G470" t="s">
        <v>654</v>
      </c>
      <c r="H470" t="s">
        <v>696</v>
      </c>
      <c r="I470" t="s">
        <v>705</v>
      </c>
      <c r="J470" t="s">
        <v>709</v>
      </c>
      <c r="K470" t="s">
        <v>717</v>
      </c>
      <c r="L470" t="s">
        <v>727</v>
      </c>
      <c r="M470">
        <f t="shared" si="54"/>
        <v>2.1586064416733639E-2</v>
      </c>
      <c r="N470" t="s">
        <v>1060</v>
      </c>
      <c r="O470" s="7">
        <v>310.02</v>
      </c>
      <c r="P470" s="7">
        <v>619.51</v>
      </c>
      <c r="Q470" s="12">
        <v>4.2000000000000003E-2</v>
      </c>
      <c r="R470">
        <v>4</v>
      </c>
      <c r="S470">
        <f t="shared" si="48"/>
        <v>2373.9623200000001</v>
      </c>
      <c r="T470">
        <f t="shared" si="49"/>
        <v>1240.08</v>
      </c>
      <c r="U470">
        <f t="shared" si="50"/>
        <v>1133.8823200000002</v>
      </c>
      <c r="V470">
        <f t="shared" si="51"/>
        <v>0.47763282106347843</v>
      </c>
    </row>
    <row r="471" spans="1:22" x14ac:dyDescent="0.25">
      <c r="A471" t="s">
        <v>103</v>
      </c>
      <c r="B471" s="14">
        <v>45312</v>
      </c>
      <c r="C471" s="14">
        <v>45316</v>
      </c>
      <c r="D471" s="7">
        <f t="shared" si="52"/>
        <v>4</v>
      </c>
      <c r="E471" s="5" t="str">
        <f t="shared" si="53"/>
        <v>Q1</v>
      </c>
      <c r="F471" t="s">
        <v>647</v>
      </c>
      <c r="G471" t="s">
        <v>654</v>
      </c>
      <c r="H471" t="s">
        <v>680</v>
      </c>
      <c r="I471" t="s">
        <v>704</v>
      </c>
      <c r="J471" t="s">
        <v>707</v>
      </c>
      <c r="K471" t="s">
        <v>712</v>
      </c>
      <c r="L471" t="s">
        <v>732</v>
      </c>
      <c r="M471">
        <f t="shared" si="54"/>
        <v>0.107685131779127</v>
      </c>
      <c r="N471" t="s">
        <v>822</v>
      </c>
      <c r="O471" s="7">
        <v>523.70000000000005</v>
      </c>
      <c r="P471" s="7">
        <v>1109.92</v>
      </c>
      <c r="Q471" s="12">
        <v>0.03</v>
      </c>
      <c r="R471">
        <v>11</v>
      </c>
      <c r="S471">
        <f t="shared" si="48"/>
        <v>11842.8464</v>
      </c>
      <c r="T471">
        <f t="shared" si="49"/>
        <v>5760.7000000000007</v>
      </c>
      <c r="U471">
        <f t="shared" si="50"/>
        <v>6082.1463999999996</v>
      </c>
      <c r="V471">
        <f t="shared" si="51"/>
        <v>0.51357133197302973</v>
      </c>
    </row>
    <row r="472" spans="1:22" x14ac:dyDescent="0.25">
      <c r="A472" t="s">
        <v>172</v>
      </c>
      <c r="B472" s="14">
        <v>45531</v>
      </c>
      <c r="C472" s="14">
        <v>45553</v>
      </c>
      <c r="D472" s="7">
        <f t="shared" si="52"/>
        <v>22</v>
      </c>
      <c r="E472" s="5" t="str">
        <f t="shared" si="53"/>
        <v>Q3</v>
      </c>
      <c r="F472" t="s">
        <v>647</v>
      </c>
      <c r="G472" t="s">
        <v>654</v>
      </c>
      <c r="H472" t="s">
        <v>680</v>
      </c>
      <c r="I472" t="s">
        <v>704</v>
      </c>
      <c r="J472" t="s">
        <v>710</v>
      </c>
      <c r="K472" t="s">
        <v>717</v>
      </c>
      <c r="L472" t="s">
        <v>727</v>
      </c>
      <c r="M472">
        <f t="shared" si="54"/>
        <v>0.21957324521279328</v>
      </c>
      <c r="N472" t="s">
        <v>891</v>
      </c>
      <c r="O472" s="7">
        <v>896.75</v>
      </c>
      <c r="P472" s="7">
        <v>1651.14</v>
      </c>
      <c r="Q472" s="12">
        <v>2.5000000000000001E-2</v>
      </c>
      <c r="R472">
        <v>15</v>
      </c>
      <c r="S472">
        <f t="shared" si="48"/>
        <v>24147.922500000001</v>
      </c>
      <c r="T472">
        <f t="shared" si="49"/>
        <v>13451.25</v>
      </c>
      <c r="U472">
        <f t="shared" si="50"/>
        <v>10696.672500000001</v>
      </c>
      <c r="V472">
        <f t="shared" si="51"/>
        <v>0.44296450346815552</v>
      </c>
    </row>
    <row r="473" spans="1:22" x14ac:dyDescent="0.25">
      <c r="A473" t="s">
        <v>360</v>
      </c>
      <c r="B473" s="14">
        <v>45261</v>
      </c>
      <c r="C473" s="14">
        <v>45278</v>
      </c>
      <c r="D473" s="7">
        <f t="shared" si="52"/>
        <v>17</v>
      </c>
      <c r="E473" s="5" t="str">
        <f t="shared" si="53"/>
        <v>Q4</v>
      </c>
      <c r="F473" t="s">
        <v>647</v>
      </c>
      <c r="G473" t="s">
        <v>652</v>
      </c>
      <c r="H473" t="s">
        <v>694</v>
      </c>
      <c r="I473" t="s">
        <v>705</v>
      </c>
      <c r="J473" t="s">
        <v>707</v>
      </c>
      <c r="K473" t="s">
        <v>725</v>
      </c>
      <c r="L473" t="s">
        <v>731</v>
      </c>
      <c r="M473">
        <f t="shared" si="54"/>
        <v>0.12400170582216681</v>
      </c>
      <c r="N473" t="s">
        <v>1079</v>
      </c>
      <c r="O473" s="7">
        <v>1495.79</v>
      </c>
      <c r="P473" s="7">
        <v>2783.12</v>
      </c>
      <c r="Q473" s="12">
        <v>0.02</v>
      </c>
      <c r="R473">
        <v>5</v>
      </c>
      <c r="S473">
        <f t="shared" si="48"/>
        <v>13637.287999999999</v>
      </c>
      <c r="T473">
        <f t="shared" si="49"/>
        <v>7478.95</v>
      </c>
      <c r="U473">
        <f t="shared" si="50"/>
        <v>6158.3379999999988</v>
      </c>
      <c r="V473">
        <f t="shared" si="51"/>
        <v>0.45158084217331185</v>
      </c>
    </row>
    <row r="474" spans="1:22" x14ac:dyDescent="0.25">
      <c r="A474" t="s">
        <v>115</v>
      </c>
      <c r="B474" s="14">
        <v>45684</v>
      </c>
      <c r="C474" s="14">
        <v>45703</v>
      </c>
      <c r="D474" s="7">
        <f t="shared" si="52"/>
        <v>19</v>
      </c>
      <c r="E474" s="5" t="str">
        <f t="shared" si="53"/>
        <v>Q1</v>
      </c>
      <c r="F474" t="s">
        <v>647</v>
      </c>
      <c r="G474" t="s">
        <v>659</v>
      </c>
      <c r="H474" t="s">
        <v>676</v>
      </c>
      <c r="I474" t="s">
        <v>703</v>
      </c>
      <c r="J474" t="s">
        <v>710</v>
      </c>
      <c r="K474" t="s">
        <v>716</v>
      </c>
      <c r="L474" t="s">
        <v>730</v>
      </c>
      <c r="M474">
        <f t="shared" si="54"/>
        <v>0.47992084008296759</v>
      </c>
      <c r="N474" t="s">
        <v>834</v>
      </c>
      <c r="O474" s="7">
        <v>1253.22</v>
      </c>
      <c r="P474" s="7">
        <v>3104.71</v>
      </c>
      <c r="Q474" s="12">
        <v>0</v>
      </c>
      <c r="R474">
        <v>17</v>
      </c>
      <c r="S474">
        <f t="shared" si="48"/>
        <v>52780.07</v>
      </c>
      <c r="T474">
        <f t="shared" si="49"/>
        <v>21304.74</v>
      </c>
      <c r="U474">
        <f t="shared" si="50"/>
        <v>31475.329999999998</v>
      </c>
      <c r="V474">
        <f t="shared" si="51"/>
        <v>0.59634877331538205</v>
      </c>
    </row>
    <row r="475" spans="1:22" x14ac:dyDescent="0.25">
      <c r="A475" t="s">
        <v>201</v>
      </c>
      <c r="B475" s="14">
        <v>45670</v>
      </c>
      <c r="C475" s="14">
        <v>45696</v>
      </c>
      <c r="D475" s="7">
        <f t="shared" si="52"/>
        <v>26</v>
      </c>
      <c r="E475" s="5" t="str">
        <f t="shared" si="53"/>
        <v>Q1</v>
      </c>
      <c r="F475" t="s">
        <v>649</v>
      </c>
      <c r="G475" t="s">
        <v>657</v>
      </c>
      <c r="H475" t="s">
        <v>690</v>
      </c>
      <c r="I475" t="s">
        <v>703</v>
      </c>
      <c r="J475" t="s">
        <v>707</v>
      </c>
      <c r="K475" t="s">
        <v>718</v>
      </c>
      <c r="L475" t="s">
        <v>732</v>
      </c>
      <c r="M475">
        <f t="shared" si="54"/>
        <v>4.3936125971775361E-2</v>
      </c>
      <c r="N475" t="s">
        <v>920</v>
      </c>
      <c r="O475" s="7">
        <v>594.74</v>
      </c>
      <c r="P475" s="7">
        <v>1020.69</v>
      </c>
      <c r="Q475" s="12">
        <v>0.21099999999999999</v>
      </c>
      <c r="R475">
        <v>6</v>
      </c>
      <c r="S475">
        <f t="shared" si="48"/>
        <v>4831.9464600000001</v>
      </c>
      <c r="T475">
        <f t="shared" si="49"/>
        <v>3568.44</v>
      </c>
      <c r="U475">
        <f t="shared" si="50"/>
        <v>1263.5064600000001</v>
      </c>
      <c r="V475">
        <f t="shared" si="51"/>
        <v>0.26149016146176424</v>
      </c>
    </row>
    <row r="476" spans="1:22" x14ac:dyDescent="0.25">
      <c r="A476" t="s">
        <v>48</v>
      </c>
      <c r="B476" s="14">
        <v>45400</v>
      </c>
      <c r="C476" s="14">
        <v>45420</v>
      </c>
      <c r="D476" s="7">
        <f t="shared" si="52"/>
        <v>20</v>
      </c>
      <c r="E476" s="5" t="str">
        <f t="shared" si="53"/>
        <v>Q2</v>
      </c>
      <c r="F476" t="s">
        <v>649</v>
      </c>
      <c r="G476" t="s">
        <v>658</v>
      </c>
      <c r="H476" t="s">
        <v>683</v>
      </c>
      <c r="I476" t="s">
        <v>703</v>
      </c>
      <c r="J476" t="s">
        <v>708</v>
      </c>
      <c r="K476" t="s">
        <v>726</v>
      </c>
      <c r="L476" t="s">
        <v>731</v>
      </c>
      <c r="M476">
        <f t="shared" si="54"/>
        <v>0.12019373268426334</v>
      </c>
      <c r="N476" t="s">
        <v>767</v>
      </c>
      <c r="O476" s="7">
        <v>645.33000000000004</v>
      </c>
      <c r="P476" s="7">
        <v>1321.85</v>
      </c>
      <c r="Q476" s="12">
        <v>0</v>
      </c>
      <c r="R476">
        <v>10</v>
      </c>
      <c r="S476">
        <f t="shared" si="48"/>
        <v>13218.5</v>
      </c>
      <c r="T476">
        <f t="shared" si="49"/>
        <v>6453.3</v>
      </c>
      <c r="U476">
        <f t="shared" si="50"/>
        <v>6765.2</v>
      </c>
      <c r="V476">
        <f t="shared" si="51"/>
        <v>0.51179785906116426</v>
      </c>
    </row>
    <row r="477" spans="1:22" x14ac:dyDescent="0.25">
      <c r="A477" t="s">
        <v>489</v>
      </c>
      <c r="B477" s="14">
        <v>45882</v>
      </c>
      <c r="C477" s="14">
        <v>45903</v>
      </c>
      <c r="D477" s="7">
        <f t="shared" si="52"/>
        <v>21</v>
      </c>
      <c r="E477" s="5" t="str">
        <f t="shared" si="53"/>
        <v>Q3</v>
      </c>
      <c r="F477" t="s">
        <v>649</v>
      </c>
      <c r="G477" t="s">
        <v>657</v>
      </c>
      <c r="H477" t="s">
        <v>690</v>
      </c>
      <c r="I477" t="s">
        <v>702</v>
      </c>
      <c r="J477" t="s">
        <v>710</v>
      </c>
      <c r="K477" t="s">
        <v>714</v>
      </c>
      <c r="L477" t="s">
        <v>730</v>
      </c>
      <c r="M477">
        <f t="shared" si="54"/>
        <v>0.17488586372042256</v>
      </c>
      <c r="N477" t="s">
        <v>1207</v>
      </c>
      <c r="O477" s="7">
        <v>603.47</v>
      </c>
      <c r="P477" s="7">
        <v>1344.05</v>
      </c>
      <c r="Q477" s="12">
        <v>0.20499999999999999</v>
      </c>
      <c r="R477">
        <v>18</v>
      </c>
      <c r="S477">
        <f t="shared" si="48"/>
        <v>19233.355499999998</v>
      </c>
      <c r="T477">
        <f t="shared" si="49"/>
        <v>10862.460000000001</v>
      </c>
      <c r="U477">
        <f t="shared" si="50"/>
        <v>8370.8954999999969</v>
      </c>
      <c r="V477">
        <f t="shared" si="51"/>
        <v>0.43522803392262976</v>
      </c>
    </row>
    <row r="478" spans="1:22" x14ac:dyDescent="0.25">
      <c r="A478" t="s">
        <v>619</v>
      </c>
      <c r="B478" s="14">
        <v>45026</v>
      </c>
      <c r="C478" s="14">
        <v>45041</v>
      </c>
      <c r="D478" s="7">
        <f t="shared" si="52"/>
        <v>15</v>
      </c>
      <c r="E478" s="5" t="str">
        <f t="shared" si="53"/>
        <v>Q2</v>
      </c>
      <c r="F478" t="s">
        <v>649</v>
      </c>
      <c r="G478" t="s">
        <v>658</v>
      </c>
      <c r="H478" t="s">
        <v>683</v>
      </c>
      <c r="I478" t="s">
        <v>705</v>
      </c>
      <c r="J478" t="s">
        <v>708</v>
      </c>
      <c r="K478" t="s">
        <v>726</v>
      </c>
      <c r="L478" t="s">
        <v>728</v>
      </c>
      <c r="M478">
        <f t="shared" si="54"/>
        <v>4.9623564465894381E-2</v>
      </c>
      <c r="N478" t="s">
        <v>1336</v>
      </c>
      <c r="O478" s="7">
        <v>405.66</v>
      </c>
      <c r="P478" s="7">
        <v>962.51</v>
      </c>
      <c r="Q478" s="12">
        <v>0.19</v>
      </c>
      <c r="R478">
        <v>7</v>
      </c>
      <c r="S478">
        <f t="shared" si="48"/>
        <v>5457.4317000000001</v>
      </c>
      <c r="T478">
        <f t="shared" si="49"/>
        <v>2839.6200000000003</v>
      </c>
      <c r="U478">
        <f t="shared" si="50"/>
        <v>2617.8116999999997</v>
      </c>
      <c r="V478">
        <f t="shared" si="51"/>
        <v>0.47967832561239376</v>
      </c>
    </row>
    <row r="479" spans="1:22" x14ac:dyDescent="0.25">
      <c r="A479" t="s">
        <v>81</v>
      </c>
      <c r="B479" s="14">
        <v>45004</v>
      </c>
      <c r="C479" s="14">
        <v>45025</v>
      </c>
      <c r="D479" s="7">
        <f t="shared" si="52"/>
        <v>21</v>
      </c>
      <c r="E479" s="5" t="str">
        <f t="shared" si="53"/>
        <v>Q1</v>
      </c>
      <c r="F479" t="s">
        <v>649</v>
      </c>
      <c r="G479" t="s">
        <v>658</v>
      </c>
      <c r="H479" t="s">
        <v>693</v>
      </c>
      <c r="I479" t="s">
        <v>704</v>
      </c>
      <c r="J479" t="s">
        <v>707</v>
      </c>
      <c r="K479" t="s">
        <v>716</v>
      </c>
      <c r="L479" t="s">
        <v>733</v>
      </c>
      <c r="M479">
        <f t="shared" si="54"/>
        <v>0.14560987748392829</v>
      </c>
      <c r="N479" t="s">
        <v>800</v>
      </c>
      <c r="O479" s="7">
        <v>1082.17</v>
      </c>
      <c r="P479" s="7">
        <v>1234.0999999999999</v>
      </c>
      <c r="Q479" s="12">
        <v>0.189</v>
      </c>
      <c r="R479">
        <v>16</v>
      </c>
      <c r="S479">
        <f t="shared" si="48"/>
        <v>16013.681599999998</v>
      </c>
      <c r="T479">
        <f t="shared" si="49"/>
        <v>17314.72</v>
      </c>
      <c r="U479">
        <f t="shared" si="50"/>
        <v>-1301.0384000000031</v>
      </c>
      <c r="V479">
        <f t="shared" si="51"/>
        <v>-8.124542703534228E-2</v>
      </c>
    </row>
    <row r="480" spans="1:22" x14ac:dyDescent="0.25">
      <c r="A480" t="s">
        <v>192</v>
      </c>
      <c r="B480" s="14">
        <v>45325</v>
      </c>
      <c r="C480" s="14">
        <v>45343</v>
      </c>
      <c r="D480" s="7">
        <f t="shared" si="52"/>
        <v>18</v>
      </c>
      <c r="E480" s="5" t="str">
        <f t="shared" si="53"/>
        <v>Q1</v>
      </c>
      <c r="F480" t="s">
        <v>649</v>
      </c>
      <c r="G480" t="s">
        <v>656</v>
      </c>
      <c r="H480" t="s">
        <v>698</v>
      </c>
      <c r="I480" t="s">
        <v>701</v>
      </c>
      <c r="J480" t="s">
        <v>709</v>
      </c>
      <c r="K480" t="s">
        <v>722</v>
      </c>
      <c r="L480" t="s">
        <v>727</v>
      </c>
      <c r="M480">
        <f t="shared" si="54"/>
        <v>2.927285102455423E-3</v>
      </c>
      <c r="N480" t="s">
        <v>911</v>
      </c>
      <c r="O480" s="7">
        <v>39.229999999999997</v>
      </c>
      <c r="P480" s="7">
        <v>30.09</v>
      </c>
      <c r="Q480" s="12">
        <v>0.17699999999999999</v>
      </c>
      <c r="R480">
        <v>13</v>
      </c>
      <c r="S480">
        <f t="shared" si="48"/>
        <v>321.93290999999999</v>
      </c>
      <c r="T480">
        <f t="shared" si="49"/>
        <v>509.98999999999995</v>
      </c>
      <c r="U480">
        <f t="shared" si="50"/>
        <v>-188.05708999999996</v>
      </c>
      <c r="V480">
        <f t="shared" si="51"/>
        <v>-0.58414993981199359</v>
      </c>
    </row>
    <row r="481" spans="1:22" x14ac:dyDescent="0.25">
      <c r="A481" t="s">
        <v>395</v>
      </c>
      <c r="B481" s="14">
        <v>45688</v>
      </c>
      <c r="C481" s="14">
        <v>45705</v>
      </c>
      <c r="D481" s="7">
        <f t="shared" si="52"/>
        <v>17</v>
      </c>
      <c r="E481" s="5" t="str">
        <f t="shared" si="53"/>
        <v>Q1</v>
      </c>
      <c r="F481" t="s">
        <v>649</v>
      </c>
      <c r="G481" t="s">
        <v>658</v>
      </c>
      <c r="H481" t="s">
        <v>683</v>
      </c>
      <c r="I481" t="s">
        <v>706</v>
      </c>
      <c r="J481" t="s">
        <v>708</v>
      </c>
      <c r="K481" t="s">
        <v>722</v>
      </c>
      <c r="L481" t="s">
        <v>727</v>
      </c>
      <c r="M481">
        <f t="shared" si="54"/>
        <v>0.10304138642673873</v>
      </c>
      <c r="N481" t="s">
        <v>812</v>
      </c>
      <c r="O481" s="7">
        <v>378.26</v>
      </c>
      <c r="P481" s="7">
        <v>541.55999999999995</v>
      </c>
      <c r="Q481" s="12">
        <v>0.16300000000000001</v>
      </c>
      <c r="R481">
        <v>25</v>
      </c>
      <c r="S481">
        <f t="shared" si="48"/>
        <v>11332.142999999998</v>
      </c>
      <c r="T481">
        <f t="shared" si="49"/>
        <v>9456.5</v>
      </c>
      <c r="U481">
        <f t="shared" si="50"/>
        <v>1875.6429999999982</v>
      </c>
      <c r="V481">
        <f t="shared" si="51"/>
        <v>0.16551529573885526</v>
      </c>
    </row>
    <row r="482" spans="1:22" x14ac:dyDescent="0.25">
      <c r="A482" t="s">
        <v>72</v>
      </c>
      <c r="B482" s="14">
        <v>45643</v>
      </c>
      <c r="C482" s="14">
        <v>45644</v>
      </c>
      <c r="D482" s="7">
        <f t="shared" si="52"/>
        <v>1</v>
      </c>
      <c r="E482" s="5" t="str">
        <f t="shared" si="53"/>
        <v>Q4</v>
      </c>
      <c r="F482" t="s">
        <v>649</v>
      </c>
      <c r="G482" t="s">
        <v>656</v>
      </c>
      <c r="H482" t="s">
        <v>684</v>
      </c>
      <c r="I482" t="s">
        <v>702</v>
      </c>
      <c r="J482" t="s">
        <v>708</v>
      </c>
      <c r="K482" t="s">
        <v>716</v>
      </c>
      <c r="L482" t="s">
        <v>733</v>
      </c>
      <c r="M482">
        <f t="shared" si="54"/>
        <v>4.3555684551822987E-2</v>
      </c>
      <c r="N482" t="s">
        <v>791</v>
      </c>
      <c r="O482" s="7">
        <v>346.82</v>
      </c>
      <c r="P482" s="7">
        <v>701.95</v>
      </c>
      <c r="Q482" s="12">
        <v>0.14699999999999999</v>
      </c>
      <c r="R482">
        <v>8</v>
      </c>
      <c r="S482">
        <f t="shared" si="48"/>
        <v>4790.1068000000005</v>
      </c>
      <c r="T482">
        <f t="shared" si="49"/>
        <v>2774.56</v>
      </c>
      <c r="U482">
        <f t="shared" si="50"/>
        <v>2015.5468000000005</v>
      </c>
      <c r="V482">
        <f t="shared" si="51"/>
        <v>0.42077283120284509</v>
      </c>
    </row>
    <row r="483" spans="1:22" x14ac:dyDescent="0.25">
      <c r="A483" t="s">
        <v>580</v>
      </c>
      <c r="B483" s="14">
        <v>45315</v>
      </c>
      <c r="C483" s="14">
        <v>45326</v>
      </c>
      <c r="D483" s="7">
        <f t="shared" si="52"/>
        <v>11</v>
      </c>
      <c r="E483" s="5" t="str">
        <f t="shared" si="53"/>
        <v>Q1</v>
      </c>
      <c r="F483" t="s">
        <v>649</v>
      </c>
      <c r="G483" t="s">
        <v>658</v>
      </c>
      <c r="H483" t="s">
        <v>693</v>
      </c>
      <c r="I483" t="s">
        <v>704</v>
      </c>
      <c r="J483" t="s">
        <v>708</v>
      </c>
      <c r="K483" t="s">
        <v>717</v>
      </c>
      <c r="L483" t="s">
        <v>731</v>
      </c>
      <c r="M483">
        <f t="shared" si="54"/>
        <v>3.8457558243183199E-2</v>
      </c>
      <c r="N483" t="s">
        <v>1297</v>
      </c>
      <c r="O483" s="7">
        <v>525.34</v>
      </c>
      <c r="P483" s="7">
        <v>1233.79</v>
      </c>
      <c r="Q483" s="12">
        <v>0.14299999999999999</v>
      </c>
      <c r="R483">
        <v>4</v>
      </c>
      <c r="S483">
        <f t="shared" si="48"/>
        <v>4229.4321199999995</v>
      </c>
      <c r="T483">
        <f t="shared" si="49"/>
        <v>2101.36</v>
      </c>
      <c r="U483">
        <f t="shared" si="50"/>
        <v>2128.0721199999994</v>
      </c>
      <c r="V483">
        <f t="shared" si="51"/>
        <v>0.50315788494082736</v>
      </c>
    </row>
    <row r="484" spans="1:22" x14ac:dyDescent="0.25">
      <c r="A484" t="s">
        <v>44</v>
      </c>
      <c r="B484" s="14">
        <v>45754</v>
      </c>
      <c r="C484" s="14">
        <v>45758</v>
      </c>
      <c r="D484" s="7">
        <f t="shared" si="52"/>
        <v>4</v>
      </c>
      <c r="E484" s="5" t="str">
        <f t="shared" si="53"/>
        <v>Q2</v>
      </c>
      <c r="F484" t="s">
        <v>649</v>
      </c>
      <c r="G484" t="s">
        <v>657</v>
      </c>
      <c r="H484" t="s">
        <v>679</v>
      </c>
      <c r="I484" t="s">
        <v>702</v>
      </c>
      <c r="J484" t="s">
        <v>709</v>
      </c>
      <c r="K484" t="s">
        <v>718</v>
      </c>
      <c r="L484" t="s">
        <v>729</v>
      </c>
      <c r="M484">
        <f t="shared" si="54"/>
        <v>0.18262185569744521</v>
      </c>
      <c r="N484" t="s">
        <v>763</v>
      </c>
      <c r="O484" s="7">
        <v>754.77</v>
      </c>
      <c r="P484" s="7">
        <v>1666.18</v>
      </c>
      <c r="Q484" s="12">
        <v>0.13900000000000001</v>
      </c>
      <c r="R484">
        <v>14</v>
      </c>
      <c r="S484">
        <f t="shared" si="48"/>
        <v>20084.133720000002</v>
      </c>
      <c r="T484">
        <f t="shared" si="49"/>
        <v>10566.779999999999</v>
      </c>
      <c r="U484">
        <f t="shared" si="50"/>
        <v>9517.3537200000028</v>
      </c>
      <c r="V484">
        <f t="shared" si="51"/>
        <v>0.47387424584424653</v>
      </c>
    </row>
    <row r="485" spans="1:22" x14ac:dyDescent="0.25">
      <c r="A485" t="s">
        <v>533</v>
      </c>
      <c r="B485" s="14">
        <v>45413</v>
      </c>
      <c r="C485" s="14">
        <v>45438</v>
      </c>
      <c r="D485" s="7">
        <f t="shared" si="52"/>
        <v>25</v>
      </c>
      <c r="E485" s="5" t="str">
        <f t="shared" si="53"/>
        <v>Q2</v>
      </c>
      <c r="F485" t="s">
        <v>649</v>
      </c>
      <c r="G485" t="s">
        <v>656</v>
      </c>
      <c r="H485" t="s">
        <v>671</v>
      </c>
      <c r="I485" t="s">
        <v>703</v>
      </c>
      <c r="J485" t="s">
        <v>709</v>
      </c>
      <c r="K485" t="s">
        <v>717</v>
      </c>
      <c r="L485" t="s">
        <v>729</v>
      </c>
      <c r="M485">
        <f t="shared" si="54"/>
        <v>8.918063335289482E-2</v>
      </c>
      <c r="N485" t="s">
        <v>1251</v>
      </c>
      <c r="O485" s="7">
        <v>930.71</v>
      </c>
      <c r="P485" s="7">
        <v>1625.42</v>
      </c>
      <c r="Q485" s="12">
        <v>0.13800000000000001</v>
      </c>
      <c r="R485">
        <v>7</v>
      </c>
      <c r="S485">
        <f t="shared" si="48"/>
        <v>9807.7842799999999</v>
      </c>
      <c r="T485">
        <f t="shared" si="49"/>
        <v>6514.97</v>
      </c>
      <c r="U485">
        <f t="shared" si="50"/>
        <v>3292.8142799999996</v>
      </c>
      <c r="V485">
        <f t="shared" si="51"/>
        <v>0.33573477821231196</v>
      </c>
    </row>
    <row r="486" spans="1:22" x14ac:dyDescent="0.25">
      <c r="A486" t="s">
        <v>427</v>
      </c>
      <c r="B486" s="14">
        <v>45002</v>
      </c>
      <c r="C486" s="14">
        <v>45022</v>
      </c>
      <c r="D486" s="7">
        <f t="shared" si="52"/>
        <v>20</v>
      </c>
      <c r="E486" s="5" t="str">
        <f t="shared" si="53"/>
        <v>Q1</v>
      </c>
      <c r="F486" t="s">
        <v>649</v>
      </c>
      <c r="G486" t="s">
        <v>656</v>
      </c>
      <c r="H486" t="s">
        <v>684</v>
      </c>
      <c r="I486" t="s">
        <v>704</v>
      </c>
      <c r="J486" t="s">
        <v>710</v>
      </c>
      <c r="K486" t="s">
        <v>719</v>
      </c>
      <c r="L486" t="s">
        <v>730</v>
      </c>
      <c r="M486">
        <f t="shared" si="54"/>
        <v>1.8722212708083462E-2</v>
      </c>
      <c r="N486" t="s">
        <v>1145</v>
      </c>
      <c r="O486" s="7">
        <v>692.18</v>
      </c>
      <c r="P486" s="7">
        <v>1159.3499999999999</v>
      </c>
      <c r="Q486" s="12">
        <v>0.112</v>
      </c>
      <c r="R486">
        <v>2</v>
      </c>
      <c r="S486">
        <f t="shared" si="48"/>
        <v>2059.0056</v>
      </c>
      <c r="T486">
        <f t="shared" si="49"/>
        <v>1384.36</v>
      </c>
      <c r="U486">
        <f t="shared" si="50"/>
        <v>674.64560000000006</v>
      </c>
      <c r="V486">
        <f t="shared" si="51"/>
        <v>0.32765602968734037</v>
      </c>
    </row>
    <row r="487" spans="1:22" x14ac:dyDescent="0.25">
      <c r="A487" t="s">
        <v>31</v>
      </c>
      <c r="B487" s="14">
        <v>45636</v>
      </c>
      <c r="C487" s="14">
        <v>45665</v>
      </c>
      <c r="D487" s="7">
        <f t="shared" si="52"/>
        <v>29</v>
      </c>
      <c r="E487" s="5" t="str">
        <f t="shared" si="53"/>
        <v>Q4</v>
      </c>
      <c r="F487" t="s">
        <v>649</v>
      </c>
      <c r="G487" t="s">
        <v>657</v>
      </c>
      <c r="H487" t="s">
        <v>673</v>
      </c>
      <c r="I487" t="s">
        <v>705</v>
      </c>
      <c r="J487" t="s">
        <v>707</v>
      </c>
      <c r="K487" t="s">
        <v>723</v>
      </c>
      <c r="L487" t="s">
        <v>728</v>
      </c>
      <c r="M487">
        <f t="shared" si="54"/>
        <v>0.23594483731524621</v>
      </c>
      <c r="N487" t="s">
        <v>750</v>
      </c>
      <c r="O487" s="7">
        <v>891.08</v>
      </c>
      <c r="P487" s="7">
        <v>1040.0999999999999</v>
      </c>
      <c r="Q487" s="12">
        <v>0.109</v>
      </c>
      <c r="R487">
        <v>28</v>
      </c>
      <c r="S487">
        <f t="shared" si="48"/>
        <v>25948.414799999995</v>
      </c>
      <c r="T487">
        <f t="shared" si="49"/>
        <v>24950.240000000002</v>
      </c>
      <c r="U487">
        <f t="shared" si="50"/>
        <v>998.17479999999341</v>
      </c>
      <c r="V487">
        <f t="shared" si="51"/>
        <v>3.8467660074556598E-2</v>
      </c>
    </row>
    <row r="488" spans="1:22" x14ac:dyDescent="0.25">
      <c r="A488" t="s">
        <v>99</v>
      </c>
      <c r="B488" s="14">
        <v>45741</v>
      </c>
      <c r="C488" s="14">
        <v>45764</v>
      </c>
      <c r="D488" s="7">
        <f t="shared" si="52"/>
        <v>23</v>
      </c>
      <c r="E488" s="5" t="str">
        <f t="shared" si="53"/>
        <v>Q1</v>
      </c>
      <c r="F488" t="s">
        <v>649</v>
      </c>
      <c r="G488" t="s">
        <v>658</v>
      </c>
      <c r="H488" t="s">
        <v>683</v>
      </c>
      <c r="I488" t="s">
        <v>704</v>
      </c>
      <c r="J488" t="s">
        <v>707</v>
      </c>
      <c r="K488" t="s">
        <v>722</v>
      </c>
      <c r="L488" t="s">
        <v>729</v>
      </c>
      <c r="M488">
        <f t="shared" si="54"/>
        <v>0.19151900851483519</v>
      </c>
      <c r="N488" t="s">
        <v>818</v>
      </c>
      <c r="O488" s="7">
        <v>1421.19</v>
      </c>
      <c r="P488" s="7">
        <v>1808.26</v>
      </c>
      <c r="Q488" s="12">
        <v>0.104</v>
      </c>
      <c r="R488">
        <v>13</v>
      </c>
      <c r="S488">
        <f t="shared" si="48"/>
        <v>21062.61248</v>
      </c>
      <c r="T488">
        <f t="shared" si="49"/>
        <v>18475.47</v>
      </c>
      <c r="U488">
        <f t="shared" si="50"/>
        <v>2587.1424799999986</v>
      </c>
      <c r="V488">
        <f t="shared" si="51"/>
        <v>0.12283103449093123</v>
      </c>
    </row>
    <row r="489" spans="1:22" x14ac:dyDescent="0.25">
      <c r="A489" t="s">
        <v>337</v>
      </c>
      <c r="B489" s="14">
        <v>44985</v>
      </c>
      <c r="C489" s="15">
        <v>44984</v>
      </c>
      <c r="D489" s="7">
        <f t="shared" si="52"/>
        <v>-1</v>
      </c>
      <c r="E489" s="5" t="str">
        <f t="shared" si="53"/>
        <v>Q1</v>
      </c>
      <c r="F489" t="s">
        <v>649</v>
      </c>
      <c r="G489" t="s">
        <v>657</v>
      </c>
      <c r="H489" t="s">
        <v>673</v>
      </c>
      <c r="I489" t="s">
        <v>701</v>
      </c>
      <c r="J489" t="s">
        <v>710</v>
      </c>
      <c r="K489" t="s">
        <v>723</v>
      </c>
      <c r="L489" t="s">
        <v>729</v>
      </c>
      <c r="M489">
        <f t="shared" si="54"/>
        <v>0.35959257461781524</v>
      </c>
      <c r="N489" t="s">
        <v>1056</v>
      </c>
      <c r="O489" s="7">
        <v>1299.81</v>
      </c>
      <c r="P489" s="7">
        <v>3149.13</v>
      </c>
      <c r="Q489" s="12">
        <v>0.10299999999999999</v>
      </c>
      <c r="R489">
        <v>14</v>
      </c>
      <c r="S489">
        <f t="shared" si="48"/>
        <v>39546.774539999999</v>
      </c>
      <c r="T489">
        <f t="shared" si="49"/>
        <v>18197.34</v>
      </c>
      <c r="U489">
        <f t="shared" si="50"/>
        <v>21349.434539999998</v>
      </c>
      <c r="V489">
        <f t="shared" si="51"/>
        <v>0.53985273864511729</v>
      </c>
    </row>
    <row r="490" spans="1:22" x14ac:dyDescent="0.25">
      <c r="A490" t="s">
        <v>632</v>
      </c>
      <c r="B490" s="14">
        <v>45643</v>
      </c>
      <c r="C490" s="14">
        <v>45673</v>
      </c>
      <c r="D490" s="7">
        <f t="shared" si="52"/>
        <v>30</v>
      </c>
      <c r="E490" s="5" t="str">
        <f t="shared" si="53"/>
        <v>Q4</v>
      </c>
      <c r="F490" t="s">
        <v>649</v>
      </c>
      <c r="G490" t="s">
        <v>658</v>
      </c>
      <c r="H490" t="s">
        <v>693</v>
      </c>
      <c r="I490" t="s">
        <v>701</v>
      </c>
      <c r="J490" t="s">
        <v>707</v>
      </c>
      <c r="K490" t="s">
        <v>726</v>
      </c>
      <c r="L490" t="s">
        <v>732</v>
      </c>
      <c r="M490">
        <f t="shared" si="54"/>
        <v>0.18383943489490198</v>
      </c>
      <c r="N490" t="s">
        <v>1349</v>
      </c>
      <c r="O490" s="7">
        <v>722.87</v>
      </c>
      <c r="P490" s="7">
        <v>804.09</v>
      </c>
      <c r="Q490" s="12">
        <v>0.10199999999999999</v>
      </c>
      <c r="R490">
        <v>28</v>
      </c>
      <c r="S490">
        <f t="shared" si="48"/>
        <v>20218.038960000002</v>
      </c>
      <c r="T490">
        <f t="shared" si="49"/>
        <v>20240.36</v>
      </c>
      <c r="U490">
        <f t="shared" si="50"/>
        <v>-22.321039999998902</v>
      </c>
      <c r="V490">
        <f t="shared" si="51"/>
        <v>-1.1040160741681991E-3</v>
      </c>
    </row>
    <row r="491" spans="1:22" x14ac:dyDescent="0.25">
      <c r="A491" t="s">
        <v>500</v>
      </c>
      <c r="B491" s="14">
        <v>45634</v>
      </c>
      <c r="C491" s="14">
        <v>45634</v>
      </c>
      <c r="D491" s="7">
        <f t="shared" si="52"/>
        <v>0</v>
      </c>
      <c r="E491" s="5" t="str">
        <f t="shared" si="53"/>
        <v>Q4</v>
      </c>
      <c r="F491" t="s">
        <v>649</v>
      </c>
      <c r="G491" t="s">
        <v>657</v>
      </c>
      <c r="H491" t="s">
        <v>679</v>
      </c>
      <c r="I491" t="s">
        <v>706</v>
      </c>
      <c r="J491" t="s">
        <v>710</v>
      </c>
      <c r="K491" t="s">
        <v>722</v>
      </c>
      <c r="L491" t="s">
        <v>727</v>
      </c>
      <c r="M491">
        <f t="shared" si="54"/>
        <v>5.5132190220605955E-2</v>
      </c>
      <c r="N491" t="s">
        <v>1218</v>
      </c>
      <c r="O491" s="7">
        <v>257.44</v>
      </c>
      <c r="P491" s="7">
        <v>290.33</v>
      </c>
      <c r="Q491" s="12">
        <v>9.1999999999999998E-2</v>
      </c>
      <c r="R491">
        <v>23</v>
      </c>
      <c r="S491">
        <f t="shared" si="48"/>
        <v>6063.2517199999993</v>
      </c>
      <c r="T491">
        <f t="shared" si="49"/>
        <v>5921.12</v>
      </c>
      <c r="U491">
        <f t="shared" si="50"/>
        <v>142.1317199999994</v>
      </c>
      <c r="V491">
        <f t="shared" si="51"/>
        <v>2.3441500792581216E-2</v>
      </c>
    </row>
    <row r="492" spans="1:22" x14ac:dyDescent="0.25">
      <c r="A492" t="s">
        <v>594</v>
      </c>
      <c r="B492" s="14">
        <v>45607</v>
      </c>
      <c r="C492" s="14">
        <v>45620</v>
      </c>
      <c r="D492" s="7">
        <f t="shared" si="52"/>
        <v>13</v>
      </c>
      <c r="E492" s="5" t="str">
        <f t="shared" si="53"/>
        <v>Q4</v>
      </c>
      <c r="F492" t="s">
        <v>649</v>
      </c>
      <c r="G492" t="s">
        <v>658</v>
      </c>
      <c r="H492" t="s">
        <v>683</v>
      </c>
      <c r="I492" t="s">
        <v>701</v>
      </c>
      <c r="J492" t="s">
        <v>710</v>
      </c>
      <c r="K492" t="s">
        <v>718</v>
      </c>
      <c r="L492" t="s">
        <v>729</v>
      </c>
      <c r="M492">
        <f t="shared" si="54"/>
        <v>3.8923534755335019E-2</v>
      </c>
      <c r="N492" t="s">
        <v>1311</v>
      </c>
      <c r="O492" s="7">
        <v>164.53</v>
      </c>
      <c r="P492" s="7">
        <v>327.72</v>
      </c>
      <c r="Q492" s="12">
        <v>6.7000000000000004E-2</v>
      </c>
      <c r="R492">
        <v>14</v>
      </c>
      <c r="S492">
        <f t="shared" si="48"/>
        <v>4280.6786400000001</v>
      </c>
      <c r="T492">
        <f t="shared" si="49"/>
        <v>2303.42</v>
      </c>
      <c r="U492">
        <f t="shared" si="50"/>
        <v>1977.25864</v>
      </c>
      <c r="V492">
        <f t="shared" si="51"/>
        <v>0.46190307805960412</v>
      </c>
    </row>
    <row r="493" spans="1:22" x14ac:dyDescent="0.25">
      <c r="A493" t="s">
        <v>399</v>
      </c>
      <c r="B493" s="14">
        <v>45491</v>
      </c>
      <c r="C493" s="14">
        <v>45511</v>
      </c>
      <c r="D493" s="7">
        <f t="shared" si="52"/>
        <v>20</v>
      </c>
      <c r="E493" s="5" t="str">
        <f t="shared" si="53"/>
        <v>Q3</v>
      </c>
      <c r="F493" t="s">
        <v>649</v>
      </c>
      <c r="G493" t="s">
        <v>657</v>
      </c>
      <c r="H493" t="s">
        <v>673</v>
      </c>
      <c r="I493" t="s">
        <v>701</v>
      </c>
      <c r="J493" t="s">
        <v>707</v>
      </c>
      <c r="K493" t="s">
        <v>721</v>
      </c>
      <c r="L493" t="s">
        <v>732</v>
      </c>
      <c r="M493">
        <f t="shared" si="54"/>
        <v>0.1387341965742403</v>
      </c>
      <c r="N493" t="s">
        <v>1117</v>
      </c>
      <c r="O493" s="7">
        <v>941.35</v>
      </c>
      <c r="P493" s="7">
        <v>899.83</v>
      </c>
      <c r="Q493" s="12">
        <v>5.8000000000000003E-2</v>
      </c>
      <c r="R493">
        <v>18</v>
      </c>
      <c r="S493">
        <f t="shared" si="48"/>
        <v>15257.51748</v>
      </c>
      <c r="T493">
        <f t="shared" si="49"/>
        <v>16944.3</v>
      </c>
      <c r="U493">
        <f t="shared" si="50"/>
        <v>-1686.7825199999988</v>
      </c>
      <c r="V493">
        <f t="shared" si="51"/>
        <v>-0.11055419220139073</v>
      </c>
    </row>
    <row r="494" spans="1:22" x14ac:dyDescent="0.25">
      <c r="A494" t="s">
        <v>385</v>
      </c>
      <c r="B494" s="14">
        <v>45286</v>
      </c>
      <c r="C494" s="14">
        <v>45294</v>
      </c>
      <c r="D494" s="7">
        <f t="shared" si="52"/>
        <v>8</v>
      </c>
      <c r="E494" s="5" t="str">
        <f t="shared" si="53"/>
        <v>Q4</v>
      </c>
      <c r="F494" t="s">
        <v>649</v>
      </c>
      <c r="G494" t="s">
        <v>657</v>
      </c>
      <c r="H494" t="s">
        <v>679</v>
      </c>
      <c r="I494" t="s">
        <v>705</v>
      </c>
      <c r="K494" t="s">
        <v>724</v>
      </c>
      <c r="L494" t="s">
        <v>731</v>
      </c>
      <c r="M494">
        <f t="shared" si="54"/>
        <v>3.7582999237921307E-2</v>
      </c>
      <c r="N494" t="s">
        <v>1104</v>
      </c>
      <c r="O494" s="7">
        <v>492.75</v>
      </c>
      <c r="P494" s="7">
        <v>731.29</v>
      </c>
      <c r="Q494" s="12">
        <v>5.8000000000000003E-2</v>
      </c>
      <c r="R494">
        <v>6</v>
      </c>
      <c r="S494">
        <f t="shared" si="48"/>
        <v>4133.25108</v>
      </c>
      <c r="T494">
        <f t="shared" si="49"/>
        <v>2956.5</v>
      </c>
      <c r="U494">
        <f t="shared" si="50"/>
        <v>1176.75108</v>
      </c>
      <c r="V494">
        <f t="shared" si="51"/>
        <v>0.28470350753528384</v>
      </c>
    </row>
    <row r="495" spans="1:22" x14ac:dyDescent="0.25">
      <c r="A495" t="s">
        <v>239</v>
      </c>
      <c r="B495" s="14">
        <v>45035</v>
      </c>
      <c r="C495" s="14">
        <v>45053</v>
      </c>
      <c r="D495" s="7">
        <f t="shared" si="52"/>
        <v>18</v>
      </c>
      <c r="E495" s="5" t="str">
        <f t="shared" si="53"/>
        <v>Q2</v>
      </c>
      <c r="F495" t="s">
        <v>649</v>
      </c>
      <c r="G495" t="s">
        <v>658</v>
      </c>
      <c r="H495" t="s">
        <v>674</v>
      </c>
      <c r="I495" t="s">
        <v>706</v>
      </c>
      <c r="J495" t="s">
        <v>709</v>
      </c>
      <c r="K495" t="s">
        <v>725</v>
      </c>
      <c r="L495" t="s">
        <v>731</v>
      </c>
      <c r="M495">
        <f t="shared" si="54"/>
        <v>0.14085291533656344</v>
      </c>
      <c r="N495" t="s">
        <v>958</v>
      </c>
      <c r="O495" s="7">
        <v>1089.1500000000001</v>
      </c>
      <c r="P495" s="7">
        <v>1088.2</v>
      </c>
      <c r="Q495" s="12">
        <v>5.0999999999999997E-2</v>
      </c>
      <c r="R495">
        <v>15</v>
      </c>
      <c r="S495">
        <f t="shared" si="48"/>
        <v>15490.527</v>
      </c>
      <c r="T495">
        <f t="shared" si="49"/>
        <v>16337.250000000002</v>
      </c>
      <c r="U495">
        <f t="shared" si="50"/>
        <v>-846.72300000000178</v>
      </c>
      <c r="V495">
        <f t="shared" si="51"/>
        <v>-5.4660696824582002E-2</v>
      </c>
    </row>
    <row r="496" spans="1:22" x14ac:dyDescent="0.25">
      <c r="A496" t="s">
        <v>458</v>
      </c>
      <c r="B496" s="14">
        <v>45526</v>
      </c>
      <c r="C496" s="14">
        <v>45539</v>
      </c>
      <c r="D496" s="7">
        <f t="shared" si="52"/>
        <v>13</v>
      </c>
      <c r="E496" s="5" t="str">
        <f t="shared" si="53"/>
        <v>Q3</v>
      </c>
      <c r="F496" t="s">
        <v>649</v>
      </c>
      <c r="G496" t="s">
        <v>656</v>
      </c>
      <c r="H496" t="s">
        <v>698</v>
      </c>
      <c r="I496" t="s">
        <v>703</v>
      </c>
      <c r="J496" t="s">
        <v>707</v>
      </c>
      <c r="K496" t="s">
        <v>716</v>
      </c>
      <c r="L496" t="s">
        <v>728</v>
      </c>
      <c r="M496">
        <f t="shared" si="54"/>
        <v>5.4193728539960441E-2</v>
      </c>
      <c r="N496" t="s">
        <v>1176</v>
      </c>
      <c r="O496" s="7">
        <v>90.04</v>
      </c>
      <c r="P496" s="7">
        <v>194.62</v>
      </c>
      <c r="Q496" s="12">
        <v>4.2999999999999997E-2</v>
      </c>
      <c r="R496">
        <v>32</v>
      </c>
      <c r="S496">
        <f t="shared" si="48"/>
        <v>5960.04288</v>
      </c>
      <c r="T496">
        <f t="shared" si="49"/>
        <v>2881.28</v>
      </c>
      <c r="U496">
        <f t="shared" si="50"/>
        <v>3078.7628799999998</v>
      </c>
      <c r="V496">
        <f t="shared" si="51"/>
        <v>0.51656723650954672</v>
      </c>
    </row>
    <row r="497" spans="1:22" x14ac:dyDescent="0.25">
      <c r="A497" t="s">
        <v>568</v>
      </c>
      <c r="B497" s="14">
        <v>45704</v>
      </c>
      <c r="C497" s="14">
        <v>45733</v>
      </c>
      <c r="D497" s="7">
        <f t="shared" si="52"/>
        <v>29</v>
      </c>
      <c r="E497" s="5" t="str">
        <f t="shared" si="53"/>
        <v>Q1</v>
      </c>
      <c r="F497" t="s">
        <v>649</v>
      </c>
      <c r="G497" t="s">
        <v>656</v>
      </c>
      <c r="H497" t="s">
        <v>684</v>
      </c>
      <c r="I497" t="s">
        <v>704</v>
      </c>
      <c r="J497" t="s">
        <v>711</v>
      </c>
      <c r="K497" t="s">
        <v>716</v>
      </c>
      <c r="L497" t="s">
        <v>733</v>
      </c>
      <c r="M497">
        <f t="shared" si="54"/>
        <v>0.18334269511580106</v>
      </c>
      <c r="N497" t="s">
        <v>1285</v>
      </c>
      <c r="O497" s="7">
        <v>730.42</v>
      </c>
      <c r="P497" s="7">
        <v>956.7</v>
      </c>
      <c r="Q497" s="12">
        <v>4.2000000000000003E-2</v>
      </c>
      <c r="R497">
        <v>22</v>
      </c>
      <c r="S497">
        <f t="shared" si="48"/>
        <v>20163.409200000002</v>
      </c>
      <c r="T497">
        <f t="shared" si="49"/>
        <v>16069.24</v>
      </c>
      <c r="U497">
        <f t="shared" si="50"/>
        <v>4094.1692000000021</v>
      </c>
      <c r="V497">
        <f t="shared" si="51"/>
        <v>0.20304945256975698</v>
      </c>
    </row>
    <row r="498" spans="1:22" x14ac:dyDescent="0.25">
      <c r="A498" t="s">
        <v>221</v>
      </c>
      <c r="B498" s="14">
        <v>45109</v>
      </c>
      <c r="C498" s="14">
        <v>45139</v>
      </c>
      <c r="D498" s="7">
        <f t="shared" si="52"/>
        <v>30</v>
      </c>
      <c r="E498" s="5" t="str">
        <f t="shared" si="53"/>
        <v>Q3</v>
      </c>
      <c r="F498" t="s">
        <v>649</v>
      </c>
      <c r="G498" t="s">
        <v>658</v>
      </c>
      <c r="H498" t="s">
        <v>674</v>
      </c>
      <c r="I498" t="s">
        <v>705</v>
      </c>
      <c r="J498" t="s">
        <v>708</v>
      </c>
      <c r="K498" t="s">
        <v>717</v>
      </c>
      <c r="L498" t="s">
        <v>727</v>
      </c>
      <c r="M498">
        <f t="shared" si="54"/>
        <v>6.0943411755881444E-2</v>
      </c>
      <c r="N498" t="s">
        <v>940</v>
      </c>
      <c r="O498" s="7">
        <v>137.46</v>
      </c>
      <c r="P498" s="7">
        <v>188.3</v>
      </c>
      <c r="Q498" s="12">
        <v>3.7999999999999999E-2</v>
      </c>
      <c r="R498">
        <v>37</v>
      </c>
      <c r="S498">
        <f t="shared" si="48"/>
        <v>6702.3501999999999</v>
      </c>
      <c r="T498">
        <f t="shared" si="49"/>
        <v>5086.0200000000004</v>
      </c>
      <c r="U498">
        <f t="shared" si="50"/>
        <v>1616.3301999999994</v>
      </c>
      <c r="V498">
        <f t="shared" si="51"/>
        <v>0.24115872071262398</v>
      </c>
    </row>
    <row r="499" spans="1:22" x14ac:dyDescent="0.25">
      <c r="A499" t="s">
        <v>200</v>
      </c>
      <c r="B499" s="14">
        <v>45099</v>
      </c>
      <c r="C499" s="14">
        <v>45128</v>
      </c>
      <c r="D499" s="7">
        <f t="shared" si="52"/>
        <v>29</v>
      </c>
      <c r="E499" s="5" t="str">
        <f t="shared" si="53"/>
        <v>Q2</v>
      </c>
      <c r="F499" t="s">
        <v>649</v>
      </c>
      <c r="G499" t="s">
        <v>657</v>
      </c>
      <c r="H499" t="s">
        <v>679</v>
      </c>
      <c r="I499" t="s">
        <v>701</v>
      </c>
      <c r="J499" t="s">
        <v>709</v>
      </c>
      <c r="K499" t="s">
        <v>713</v>
      </c>
      <c r="L499" t="s">
        <v>733</v>
      </c>
      <c r="M499">
        <f t="shared" si="54"/>
        <v>9.4460353173898823E-2</v>
      </c>
      <c r="N499" t="s">
        <v>919</v>
      </c>
      <c r="O499" s="7">
        <v>734.34</v>
      </c>
      <c r="P499" s="7">
        <v>887.9</v>
      </c>
      <c r="Q499" s="12">
        <v>2.5000000000000001E-2</v>
      </c>
      <c r="R499">
        <v>12</v>
      </c>
      <c r="S499">
        <f t="shared" si="48"/>
        <v>10388.429999999998</v>
      </c>
      <c r="T499">
        <f t="shared" si="49"/>
        <v>8812.08</v>
      </c>
      <c r="U499">
        <f t="shared" si="50"/>
        <v>1576.3499999999985</v>
      </c>
      <c r="V499">
        <f t="shared" si="51"/>
        <v>0.15174092716608753</v>
      </c>
    </row>
    <row r="500" spans="1:22" x14ac:dyDescent="0.25">
      <c r="A500" t="s">
        <v>156</v>
      </c>
      <c r="B500" s="14">
        <v>45649</v>
      </c>
      <c r="C500" s="14">
        <v>45668</v>
      </c>
      <c r="D500" s="7">
        <f t="shared" si="52"/>
        <v>19</v>
      </c>
      <c r="E500" s="5" t="str">
        <f t="shared" si="53"/>
        <v>Q4</v>
      </c>
      <c r="F500" t="s">
        <v>649</v>
      </c>
      <c r="G500" t="s">
        <v>656</v>
      </c>
      <c r="H500" t="s">
        <v>671</v>
      </c>
      <c r="I500" t="s">
        <v>702</v>
      </c>
      <c r="J500" t="s">
        <v>711</v>
      </c>
      <c r="K500" t="s">
        <v>723</v>
      </c>
      <c r="L500" t="s">
        <v>730</v>
      </c>
      <c r="M500">
        <f t="shared" si="54"/>
        <v>7.4667092781764546E-2</v>
      </c>
      <c r="N500" t="s">
        <v>875</v>
      </c>
      <c r="O500" s="7">
        <v>501.81</v>
      </c>
      <c r="P500" s="7">
        <v>921.62</v>
      </c>
      <c r="Q500" s="12">
        <v>0.01</v>
      </c>
      <c r="R500">
        <v>9</v>
      </c>
      <c r="S500">
        <f t="shared" si="48"/>
        <v>8211.6342000000004</v>
      </c>
      <c r="T500">
        <f t="shared" si="49"/>
        <v>4516.29</v>
      </c>
      <c r="U500">
        <f t="shared" si="50"/>
        <v>3695.3442000000005</v>
      </c>
      <c r="V500">
        <f t="shared" si="51"/>
        <v>0.45001325071202031</v>
      </c>
    </row>
    <row r="501" spans="1:22" x14ac:dyDescent="0.25">
      <c r="A501" t="s">
        <v>276</v>
      </c>
      <c r="B501" s="14">
        <v>45073</v>
      </c>
      <c r="C501" s="14">
        <v>45096</v>
      </c>
      <c r="D501" s="7">
        <f t="shared" si="52"/>
        <v>23</v>
      </c>
      <c r="E501" s="5" t="str">
        <f t="shared" si="53"/>
        <v>Q2</v>
      </c>
      <c r="F501" t="s">
        <v>649</v>
      </c>
      <c r="G501" t="s">
        <v>656</v>
      </c>
      <c r="H501" t="s">
        <v>671</v>
      </c>
      <c r="I501" t="s">
        <v>702</v>
      </c>
      <c r="J501" t="s">
        <v>708</v>
      </c>
      <c r="K501" t="s">
        <v>719</v>
      </c>
      <c r="L501" t="s">
        <v>733</v>
      </c>
      <c r="M501">
        <f t="shared" si="54"/>
        <v>0.1633474863387952</v>
      </c>
      <c r="N501" t="s">
        <v>995</v>
      </c>
      <c r="O501" s="7">
        <v>1471.58</v>
      </c>
      <c r="P501" s="7">
        <v>2576.65</v>
      </c>
      <c r="Q501" s="12">
        <v>4.0000000000000001E-3</v>
      </c>
      <c r="R501">
        <v>7</v>
      </c>
      <c r="S501">
        <f t="shared" si="48"/>
        <v>17964.4038</v>
      </c>
      <c r="T501">
        <f t="shared" si="49"/>
        <v>10301.06</v>
      </c>
      <c r="U501">
        <f t="shared" si="50"/>
        <v>7663.3438000000006</v>
      </c>
      <c r="V501">
        <f t="shared" si="51"/>
        <v>0.4265849223451546</v>
      </c>
    </row>
    <row r="502" spans="1:22" x14ac:dyDescent="0.25">
      <c r="A502" t="s">
        <v>328</v>
      </c>
      <c r="B502" s="14">
        <v>45600</v>
      </c>
      <c r="C502" s="14">
        <v>45601</v>
      </c>
      <c r="D502" s="7">
        <f t="shared" si="52"/>
        <v>1</v>
      </c>
      <c r="E502" s="5" t="str">
        <f t="shared" si="53"/>
        <v>Q4</v>
      </c>
      <c r="F502" t="s">
        <v>649</v>
      </c>
      <c r="G502" t="s">
        <v>658</v>
      </c>
      <c r="H502" t="s">
        <v>683</v>
      </c>
      <c r="I502" t="s">
        <v>701</v>
      </c>
      <c r="J502" t="s">
        <v>707</v>
      </c>
      <c r="K502" t="s">
        <v>724</v>
      </c>
      <c r="L502" t="s">
        <v>728</v>
      </c>
      <c r="M502">
        <f t="shared" si="54"/>
        <v>0.36667167458864852</v>
      </c>
      <c r="N502" t="s">
        <v>1047</v>
      </c>
      <c r="O502" s="7">
        <v>840.68</v>
      </c>
      <c r="P502" s="7">
        <v>1493.53</v>
      </c>
      <c r="Q502" s="12">
        <v>0</v>
      </c>
      <c r="R502">
        <v>27</v>
      </c>
      <c r="S502">
        <f t="shared" si="48"/>
        <v>40325.31</v>
      </c>
      <c r="T502">
        <f t="shared" si="49"/>
        <v>22698.359999999997</v>
      </c>
      <c r="U502">
        <f t="shared" si="50"/>
        <v>17626.95</v>
      </c>
      <c r="V502">
        <f t="shared" si="51"/>
        <v>0.43711877230454027</v>
      </c>
    </row>
    <row r="503" spans="1:22" x14ac:dyDescent="0.25">
      <c r="A503" t="s">
        <v>62</v>
      </c>
      <c r="B503" s="14">
        <v>45426</v>
      </c>
      <c r="C503" s="14">
        <v>45440</v>
      </c>
      <c r="D503" s="7">
        <f t="shared" si="52"/>
        <v>14</v>
      </c>
      <c r="E503" s="5" t="str">
        <f t="shared" si="53"/>
        <v>Q2</v>
      </c>
      <c r="F503" t="s">
        <v>649</v>
      </c>
      <c r="G503" t="s">
        <v>658</v>
      </c>
      <c r="H503" t="s">
        <v>674</v>
      </c>
      <c r="I503" t="s">
        <v>704</v>
      </c>
      <c r="J503" t="s">
        <v>708</v>
      </c>
      <c r="K503" t="s">
        <v>717</v>
      </c>
      <c r="L503" t="s">
        <v>729</v>
      </c>
      <c r="M503">
        <f t="shared" si="54"/>
        <v>0.99333843729316218</v>
      </c>
      <c r="N503" t="s">
        <v>781</v>
      </c>
      <c r="O503" s="7">
        <v>1421.14</v>
      </c>
      <c r="P503" s="7">
        <v>3524</v>
      </c>
      <c r="Q503" s="12">
        <v>0</v>
      </c>
      <c r="R503">
        <v>31</v>
      </c>
      <c r="S503">
        <f t="shared" si="48"/>
        <v>109244</v>
      </c>
      <c r="T503">
        <f t="shared" si="49"/>
        <v>44055.340000000004</v>
      </c>
      <c r="U503">
        <f t="shared" si="50"/>
        <v>65188.659999999996</v>
      </c>
      <c r="V503">
        <f t="shared" si="51"/>
        <v>0.59672531214528945</v>
      </c>
    </row>
    <row r="504" spans="1:22" x14ac:dyDescent="0.25">
      <c r="A504" t="s">
        <v>28</v>
      </c>
      <c r="B504" s="14">
        <v>45311</v>
      </c>
      <c r="C504" s="14">
        <v>45335</v>
      </c>
      <c r="D504" s="7">
        <f t="shared" si="52"/>
        <v>24</v>
      </c>
      <c r="E504" s="5" t="str">
        <f t="shared" si="53"/>
        <v>Q1</v>
      </c>
      <c r="F504" t="s">
        <v>649</v>
      </c>
      <c r="G504" t="s">
        <v>657</v>
      </c>
      <c r="H504" t="s">
        <v>673</v>
      </c>
      <c r="I504" t="s">
        <v>701</v>
      </c>
      <c r="J504" t="s">
        <v>707</v>
      </c>
      <c r="K504" t="s">
        <v>722</v>
      </c>
      <c r="L504" t="s">
        <v>728</v>
      </c>
      <c r="M504">
        <f t="shared" si="54"/>
        <v>0.19627035965122572</v>
      </c>
      <c r="N504" t="s">
        <v>747</v>
      </c>
      <c r="O504" s="7">
        <v>643.53</v>
      </c>
      <c r="P504" s="7">
        <v>1439.01</v>
      </c>
      <c r="Q504" s="12">
        <v>0</v>
      </c>
      <c r="R504">
        <v>15</v>
      </c>
      <c r="S504">
        <f t="shared" si="48"/>
        <v>21585.15</v>
      </c>
      <c r="T504">
        <f t="shared" si="49"/>
        <v>9652.9499999999989</v>
      </c>
      <c r="U504">
        <f t="shared" si="50"/>
        <v>11932.200000000003</v>
      </c>
      <c r="V504">
        <f t="shared" si="51"/>
        <v>0.55279671440782208</v>
      </c>
    </row>
    <row r="505" spans="1:22" x14ac:dyDescent="0.25">
      <c r="A505" t="s">
        <v>182</v>
      </c>
      <c r="B505" s="14">
        <v>45435</v>
      </c>
      <c r="C505" s="14">
        <v>45457</v>
      </c>
      <c r="D505" s="7">
        <f t="shared" si="52"/>
        <v>22</v>
      </c>
      <c r="E505" s="5" t="str">
        <f t="shared" si="53"/>
        <v>Q2</v>
      </c>
      <c r="F505" t="s">
        <v>649</v>
      </c>
      <c r="G505" t="s">
        <v>657</v>
      </c>
      <c r="H505" t="s">
        <v>673</v>
      </c>
      <c r="I505" t="s">
        <v>705</v>
      </c>
      <c r="J505" t="s">
        <v>710</v>
      </c>
      <c r="K505" t="s">
        <v>725</v>
      </c>
      <c r="L505" t="s">
        <v>732</v>
      </c>
      <c r="M505">
        <f t="shared" si="54"/>
        <v>0.11287840104059364</v>
      </c>
      <c r="N505" t="s">
        <v>901</v>
      </c>
      <c r="O505" s="7">
        <v>1481.74</v>
      </c>
      <c r="P505" s="7">
        <v>1848.97</v>
      </c>
      <c r="Q505" s="12">
        <v>0.254</v>
      </c>
      <c r="R505">
        <v>9</v>
      </c>
      <c r="S505">
        <f t="shared" si="48"/>
        <v>12413.98458</v>
      </c>
      <c r="T505">
        <f t="shared" si="49"/>
        <v>13335.66</v>
      </c>
      <c r="U505">
        <f t="shared" si="50"/>
        <v>-921.67541999999958</v>
      </c>
      <c r="V505">
        <f t="shared" si="51"/>
        <v>-7.4244930309072407E-2</v>
      </c>
    </row>
    <row r="506" spans="1:22" x14ac:dyDescent="0.25">
      <c r="A506" t="s">
        <v>51</v>
      </c>
      <c r="B506" s="14">
        <v>45358</v>
      </c>
      <c r="C506" s="14">
        <v>45376</v>
      </c>
      <c r="D506" s="7">
        <f t="shared" si="52"/>
        <v>18</v>
      </c>
      <c r="E506" s="5" t="str">
        <f t="shared" si="53"/>
        <v>Q1</v>
      </c>
      <c r="F506" t="s">
        <v>649</v>
      </c>
      <c r="G506" t="s">
        <v>656</v>
      </c>
      <c r="H506" t="s">
        <v>684</v>
      </c>
      <c r="I506" t="s">
        <v>701</v>
      </c>
      <c r="J506" t="s">
        <v>707</v>
      </c>
      <c r="K506" t="s">
        <v>717</v>
      </c>
      <c r="L506" t="s">
        <v>727</v>
      </c>
      <c r="M506">
        <f t="shared" si="54"/>
        <v>0.17237643380954656</v>
      </c>
      <c r="N506" t="s">
        <v>770</v>
      </c>
      <c r="O506" s="7">
        <v>712.84</v>
      </c>
      <c r="P506" s="7">
        <v>927.51</v>
      </c>
      <c r="Q506" s="12">
        <v>0.24299999999999999</v>
      </c>
      <c r="R506">
        <v>27</v>
      </c>
      <c r="S506">
        <f t="shared" si="48"/>
        <v>18957.37689</v>
      </c>
      <c r="T506">
        <f t="shared" si="49"/>
        <v>19246.68</v>
      </c>
      <c r="U506">
        <f t="shared" si="50"/>
        <v>-289.30311000000074</v>
      </c>
      <c r="V506">
        <f t="shared" si="51"/>
        <v>-1.5260714163076427E-2</v>
      </c>
    </row>
    <row r="507" spans="1:22" x14ac:dyDescent="0.25">
      <c r="A507" t="s">
        <v>147</v>
      </c>
      <c r="B507" s="14">
        <v>44953</v>
      </c>
      <c r="C507" s="14">
        <v>44957</v>
      </c>
      <c r="D507" s="7">
        <f t="shared" si="52"/>
        <v>4</v>
      </c>
      <c r="E507" s="5" t="str">
        <f t="shared" si="53"/>
        <v>Q1</v>
      </c>
      <c r="F507" t="s">
        <v>649</v>
      </c>
      <c r="G507" t="s">
        <v>658</v>
      </c>
      <c r="H507" t="s">
        <v>693</v>
      </c>
      <c r="I507" t="s">
        <v>706</v>
      </c>
      <c r="J507" t="s">
        <v>711</v>
      </c>
      <c r="K507" t="s">
        <v>725</v>
      </c>
      <c r="L507" t="s">
        <v>731</v>
      </c>
      <c r="M507">
        <f t="shared" si="54"/>
        <v>7.5806020350313211E-2</v>
      </c>
      <c r="N507" t="s">
        <v>866</v>
      </c>
      <c r="O507" s="7">
        <v>941.2</v>
      </c>
      <c r="P507" s="7">
        <v>668.02</v>
      </c>
      <c r="Q507" s="12">
        <v>0.22</v>
      </c>
      <c r="R507">
        <v>16</v>
      </c>
      <c r="S507">
        <f t="shared" si="48"/>
        <v>8336.8896000000004</v>
      </c>
      <c r="T507">
        <f t="shared" si="49"/>
        <v>15059.2</v>
      </c>
      <c r="U507">
        <f t="shared" si="50"/>
        <v>-6722.3104000000003</v>
      </c>
      <c r="V507">
        <f t="shared" si="51"/>
        <v>-0.80633314371825193</v>
      </c>
    </row>
    <row r="508" spans="1:22" x14ac:dyDescent="0.25">
      <c r="A508" t="s">
        <v>493</v>
      </c>
      <c r="B508" s="14">
        <v>45123</v>
      </c>
      <c r="C508" s="14">
        <v>45151</v>
      </c>
      <c r="D508" s="7">
        <f t="shared" si="52"/>
        <v>28</v>
      </c>
      <c r="E508" s="5" t="str">
        <f t="shared" si="53"/>
        <v>Q3</v>
      </c>
      <c r="F508" t="s">
        <v>649</v>
      </c>
      <c r="G508" t="s">
        <v>658</v>
      </c>
      <c r="H508" t="s">
        <v>693</v>
      </c>
      <c r="I508" t="s">
        <v>703</v>
      </c>
      <c r="J508" t="s">
        <v>708</v>
      </c>
      <c r="K508" t="s">
        <v>713</v>
      </c>
      <c r="L508" t="s">
        <v>731</v>
      </c>
      <c r="M508">
        <f t="shared" si="54"/>
        <v>0.38111934442966122</v>
      </c>
      <c r="N508" t="s">
        <v>1211</v>
      </c>
      <c r="O508" s="7">
        <v>1039.03</v>
      </c>
      <c r="P508" s="7">
        <v>2545.81</v>
      </c>
      <c r="Q508" s="12">
        <v>0.216</v>
      </c>
      <c r="R508">
        <v>21</v>
      </c>
      <c r="S508">
        <f t="shared" si="48"/>
        <v>41914.215840000004</v>
      </c>
      <c r="T508">
        <f t="shared" si="49"/>
        <v>21819.63</v>
      </c>
      <c r="U508">
        <f t="shared" si="50"/>
        <v>20094.585840000003</v>
      </c>
      <c r="V508">
        <f t="shared" si="51"/>
        <v>0.47942172929364774</v>
      </c>
    </row>
    <row r="509" spans="1:22" x14ac:dyDescent="0.25">
      <c r="A509" t="s">
        <v>583</v>
      </c>
      <c r="B509" s="14">
        <v>45600</v>
      </c>
      <c r="C509" s="14">
        <v>45603</v>
      </c>
      <c r="D509" s="7">
        <f t="shared" si="52"/>
        <v>3</v>
      </c>
      <c r="E509" s="5" t="str">
        <f t="shared" si="53"/>
        <v>Q4</v>
      </c>
      <c r="F509" t="s">
        <v>649</v>
      </c>
      <c r="G509" t="s">
        <v>657</v>
      </c>
      <c r="H509" t="s">
        <v>679</v>
      </c>
      <c r="I509" t="s">
        <v>701</v>
      </c>
      <c r="J509" t="s">
        <v>711</v>
      </c>
      <c r="K509" t="s">
        <v>719</v>
      </c>
      <c r="L509" t="s">
        <v>732</v>
      </c>
      <c r="M509">
        <f t="shared" si="54"/>
        <v>0.2280437566981128</v>
      </c>
      <c r="N509" t="s">
        <v>1300</v>
      </c>
      <c r="O509" s="7">
        <v>740.68</v>
      </c>
      <c r="P509" s="7">
        <v>1837.19</v>
      </c>
      <c r="Q509" s="12">
        <v>0.19700000000000001</v>
      </c>
      <c r="R509">
        <v>17</v>
      </c>
      <c r="S509">
        <f t="shared" si="48"/>
        <v>25079.480689999997</v>
      </c>
      <c r="T509">
        <f t="shared" si="49"/>
        <v>12591.56</v>
      </c>
      <c r="U509">
        <f t="shared" si="50"/>
        <v>12487.920689999997</v>
      </c>
      <c r="V509">
        <f t="shared" si="51"/>
        <v>0.4979337827748298</v>
      </c>
    </row>
    <row r="510" spans="1:22" x14ac:dyDescent="0.25">
      <c r="A510" t="s">
        <v>281</v>
      </c>
      <c r="B510" s="14">
        <v>45573</v>
      </c>
      <c r="C510" s="14">
        <v>45573</v>
      </c>
      <c r="D510" s="7">
        <f t="shared" si="52"/>
        <v>0</v>
      </c>
      <c r="E510" s="5" t="str">
        <f t="shared" si="53"/>
        <v>Q4</v>
      </c>
      <c r="F510" t="s">
        <v>649</v>
      </c>
      <c r="G510" t="s">
        <v>658</v>
      </c>
      <c r="H510" t="s">
        <v>683</v>
      </c>
      <c r="I510" t="s">
        <v>701</v>
      </c>
      <c r="J510" t="s">
        <v>709</v>
      </c>
      <c r="K510" t="s">
        <v>718</v>
      </c>
      <c r="L510" t="s">
        <v>732</v>
      </c>
      <c r="M510">
        <f t="shared" si="54"/>
        <v>0.35297285484779456</v>
      </c>
      <c r="N510" t="s">
        <v>1000</v>
      </c>
      <c r="O510" s="7">
        <v>1108.1099999999999</v>
      </c>
      <c r="P510" s="7">
        <v>2503.79</v>
      </c>
      <c r="Q510" s="12">
        <v>0.184</v>
      </c>
      <c r="R510">
        <v>19</v>
      </c>
      <c r="S510">
        <f t="shared" si="48"/>
        <v>38818.760160000005</v>
      </c>
      <c r="T510">
        <f t="shared" si="49"/>
        <v>21054.089999999997</v>
      </c>
      <c r="U510">
        <f t="shared" si="50"/>
        <v>17764.670160000009</v>
      </c>
      <c r="V510">
        <f t="shared" si="51"/>
        <v>0.45763105485025896</v>
      </c>
    </row>
    <row r="511" spans="1:22" x14ac:dyDescent="0.25">
      <c r="A511" t="s">
        <v>565</v>
      </c>
      <c r="B511" s="14">
        <v>45633</v>
      </c>
      <c r="C511" s="14">
        <v>45652</v>
      </c>
      <c r="D511" s="7">
        <f t="shared" si="52"/>
        <v>19</v>
      </c>
      <c r="E511" s="5" t="str">
        <f t="shared" si="53"/>
        <v>Q4</v>
      </c>
      <c r="F511" t="s">
        <v>649</v>
      </c>
      <c r="G511" t="s">
        <v>658</v>
      </c>
      <c r="H511" t="s">
        <v>683</v>
      </c>
      <c r="I511" t="s">
        <v>706</v>
      </c>
      <c r="J511" t="s">
        <v>709</v>
      </c>
      <c r="K511" t="s">
        <v>726</v>
      </c>
      <c r="L511" t="s">
        <v>729</v>
      </c>
      <c r="M511">
        <f t="shared" si="54"/>
        <v>0.26981603495038392</v>
      </c>
      <c r="N511" t="s">
        <v>1282</v>
      </c>
      <c r="O511" s="7">
        <v>1035.24</v>
      </c>
      <c r="P511" s="7">
        <v>2383.41</v>
      </c>
      <c r="Q511" s="12">
        <v>0.17</v>
      </c>
      <c r="R511">
        <v>15</v>
      </c>
      <c r="S511">
        <f t="shared" si="48"/>
        <v>29673.454499999993</v>
      </c>
      <c r="T511">
        <f t="shared" si="49"/>
        <v>15528.6</v>
      </c>
      <c r="U511">
        <f t="shared" si="50"/>
        <v>14144.854499999992</v>
      </c>
      <c r="V511">
        <f t="shared" si="51"/>
        <v>0.47668378145860962</v>
      </c>
    </row>
    <row r="512" spans="1:22" x14ac:dyDescent="0.25">
      <c r="A512" t="s">
        <v>350</v>
      </c>
      <c r="B512" s="14">
        <v>45391</v>
      </c>
      <c r="C512" s="14">
        <v>45400</v>
      </c>
      <c r="D512" s="7">
        <f t="shared" si="52"/>
        <v>9</v>
      </c>
      <c r="E512" s="5" t="str">
        <f t="shared" si="53"/>
        <v>Q2</v>
      </c>
      <c r="F512" t="s">
        <v>649</v>
      </c>
      <c r="G512" t="s">
        <v>657</v>
      </c>
      <c r="H512" t="s">
        <v>679</v>
      </c>
      <c r="I512" t="s">
        <v>704</v>
      </c>
      <c r="J512" t="s">
        <v>711</v>
      </c>
      <c r="K512" t="s">
        <v>718</v>
      </c>
      <c r="L512" t="s">
        <v>728</v>
      </c>
      <c r="M512">
        <f t="shared" si="54"/>
        <v>0.14747994193260158</v>
      </c>
      <c r="N512" t="s">
        <v>1069</v>
      </c>
      <c r="O512" s="7">
        <v>1288.8499999999999</v>
      </c>
      <c r="P512" s="7">
        <v>2751.84</v>
      </c>
      <c r="Q512" s="12">
        <v>0.158</v>
      </c>
      <c r="R512">
        <v>7</v>
      </c>
      <c r="S512">
        <f t="shared" si="48"/>
        <v>16219.34496</v>
      </c>
      <c r="T512">
        <f t="shared" si="49"/>
        <v>9021.9499999999989</v>
      </c>
      <c r="U512">
        <f t="shared" si="50"/>
        <v>7197.3949600000014</v>
      </c>
      <c r="V512">
        <f t="shared" si="51"/>
        <v>0.44375373837538756</v>
      </c>
    </row>
    <row r="513" spans="1:22" x14ac:dyDescent="0.25">
      <c r="A513" t="s">
        <v>289</v>
      </c>
      <c r="B513" s="14">
        <v>45367</v>
      </c>
      <c r="C513" s="14">
        <v>45395</v>
      </c>
      <c r="D513" s="7">
        <f t="shared" si="52"/>
        <v>28</v>
      </c>
      <c r="E513" s="5" t="str">
        <f t="shared" si="53"/>
        <v>Q1</v>
      </c>
      <c r="F513" t="s">
        <v>649</v>
      </c>
      <c r="G513" t="s">
        <v>657</v>
      </c>
      <c r="H513" t="s">
        <v>690</v>
      </c>
      <c r="I513" t="s">
        <v>705</v>
      </c>
      <c r="J513" t="s">
        <v>709</v>
      </c>
      <c r="K513" t="s">
        <v>723</v>
      </c>
      <c r="L513" t="s">
        <v>728</v>
      </c>
      <c r="M513">
        <f t="shared" si="54"/>
        <v>0.10381687946339822</v>
      </c>
      <c r="N513" t="s">
        <v>1008</v>
      </c>
      <c r="O513" s="7">
        <v>287.61</v>
      </c>
      <c r="P513" s="7">
        <v>628.54</v>
      </c>
      <c r="Q513" s="12">
        <v>0.13500000000000001</v>
      </c>
      <c r="R513">
        <v>21</v>
      </c>
      <c r="S513">
        <f t="shared" si="48"/>
        <v>11417.429099999999</v>
      </c>
      <c r="T513">
        <f t="shared" si="49"/>
        <v>6039.81</v>
      </c>
      <c r="U513">
        <f t="shared" si="50"/>
        <v>5377.619099999999</v>
      </c>
      <c r="V513">
        <f t="shared" si="51"/>
        <v>0.47100087531964613</v>
      </c>
    </row>
    <row r="514" spans="1:22" x14ac:dyDescent="0.25">
      <c r="A514" t="s">
        <v>153</v>
      </c>
      <c r="B514" s="14">
        <v>45616</v>
      </c>
      <c r="C514" s="14">
        <v>45641</v>
      </c>
      <c r="D514" s="7">
        <f t="shared" si="52"/>
        <v>25</v>
      </c>
      <c r="E514" s="5" t="str">
        <f t="shared" si="53"/>
        <v>Q4</v>
      </c>
      <c r="F514" t="s">
        <v>649</v>
      </c>
      <c r="G514" t="s">
        <v>657</v>
      </c>
      <c r="H514" t="s">
        <v>690</v>
      </c>
      <c r="I514" t="s">
        <v>701</v>
      </c>
      <c r="J514" t="s">
        <v>711</v>
      </c>
      <c r="K514" t="s">
        <v>715</v>
      </c>
      <c r="L514" t="s">
        <v>728</v>
      </c>
      <c r="M514">
        <f t="shared" si="54"/>
        <v>0.3234118231070407</v>
      </c>
      <c r="N514" t="s">
        <v>872</v>
      </c>
      <c r="O514" s="7">
        <v>1203.58</v>
      </c>
      <c r="P514" s="7">
        <v>1856.16</v>
      </c>
      <c r="Q514" s="12">
        <v>0.129</v>
      </c>
      <c r="R514">
        <v>22</v>
      </c>
      <c r="S514">
        <f t="shared" ref="S514:S577" si="55">P514*R514*(1-Q514)</f>
        <v>35567.737920000007</v>
      </c>
      <c r="T514">
        <f t="shared" ref="T514:T577" si="56">O514*R514</f>
        <v>26478.76</v>
      </c>
      <c r="U514">
        <f t="shared" ref="U514:U577" si="57">S514-T514</f>
        <v>9088.9779200000085</v>
      </c>
      <c r="V514">
        <f t="shared" ref="V514:V577" si="58">IF(S514=0,0,U514/S514)</f>
        <v>0.25553994860295032</v>
      </c>
    </row>
    <row r="515" spans="1:22" x14ac:dyDescent="0.25">
      <c r="A515" t="s">
        <v>122</v>
      </c>
      <c r="B515" s="14">
        <v>45518</v>
      </c>
      <c r="C515" s="14">
        <v>45539</v>
      </c>
      <c r="D515" s="7">
        <f t="shared" ref="D515:D578" si="59">C515-B515</f>
        <v>21</v>
      </c>
      <c r="E515" s="5" t="str">
        <f t="shared" ref="E515:E578" si="60">IF(AND(MONTH(B515)&gt;=1,MONTH(B515)&lt;=3),"Q1", IF(AND(MONTH(B515)&gt;=4,MONTH(B515)&lt;=6), "Q2", IF(AND(MONTH(B515)&gt;=7,MONTH(B515)&lt;=9),"Q3", IF(AND(MONTH(B515)&gt;=10,MONTH(B515)&lt;=12),"Q4"))))</f>
        <v>Q3</v>
      </c>
      <c r="F515" t="s">
        <v>649</v>
      </c>
      <c r="G515" t="s">
        <v>658</v>
      </c>
      <c r="H515" t="s">
        <v>693</v>
      </c>
      <c r="I515" t="s">
        <v>703</v>
      </c>
      <c r="J515" t="s">
        <v>711</v>
      </c>
      <c r="K515" t="s">
        <v>713</v>
      </c>
      <c r="L515" t="s">
        <v>730</v>
      </c>
      <c r="M515">
        <f t="shared" ref="M515:M578" si="61">(S515/$S$634)*100</f>
        <v>0.21538691837147292</v>
      </c>
      <c r="N515" t="s">
        <v>841</v>
      </c>
      <c r="O515" s="7">
        <v>1138.8</v>
      </c>
      <c r="P515" s="7">
        <v>2250.81</v>
      </c>
      <c r="Q515" s="12">
        <v>0.123</v>
      </c>
      <c r="R515">
        <v>12</v>
      </c>
      <c r="S515">
        <f t="shared" si="55"/>
        <v>23687.524440000001</v>
      </c>
      <c r="T515">
        <f t="shared" si="56"/>
        <v>13665.599999999999</v>
      </c>
      <c r="U515">
        <f t="shared" si="57"/>
        <v>10021.924440000003</v>
      </c>
      <c r="V515">
        <f t="shared" si="58"/>
        <v>0.42308872188756258</v>
      </c>
    </row>
    <row r="516" spans="1:22" x14ac:dyDescent="0.25">
      <c r="A516" t="s">
        <v>546</v>
      </c>
      <c r="B516" s="14">
        <v>45727</v>
      </c>
      <c r="C516" s="14">
        <v>45742</v>
      </c>
      <c r="D516" s="7">
        <f t="shared" si="59"/>
        <v>15</v>
      </c>
      <c r="E516" s="5" t="str">
        <f t="shared" si="60"/>
        <v>Q1</v>
      </c>
      <c r="F516" t="s">
        <v>649</v>
      </c>
      <c r="G516" t="s">
        <v>656</v>
      </c>
      <c r="H516" t="s">
        <v>671</v>
      </c>
      <c r="I516" t="s">
        <v>705</v>
      </c>
      <c r="J516" t="s">
        <v>707</v>
      </c>
      <c r="K516" t="s">
        <v>714</v>
      </c>
      <c r="L516" t="s">
        <v>730</v>
      </c>
      <c r="M516">
        <f t="shared" si="61"/>
        <v>5.62119313890873E-3</v>
      </c>
      <c r="N516" t="s">
        <v>1264</v>
      </c>
      <c r="O516" s="7">
        <v>116.97</v>
      </c>
      <c r="P516" s="7">
        <v>140.82</v>
      </c>
      <c r="Q516" s="12">
        <v>0.122</v>
      </c>
      <c r="R516">
        <v>5</v>
      </c>
      <c r="S516">
        <f t="shared" si="55"/>
        <v>618.19979999999987</v>
      </c>
      <c r="T516">
        <f t="shared" si="56"/>
        <v>584.85</v>
      </c>
      <c r="U516">
        <f t="shared" si="57"/>
        <v>33.349799999999846</v>
      </c>
      <c r="V516">
        <f t="shared" si="58"/>
        <v>5.3946636669891926E-2</v>
      </c>
    </row>
    <row r="517" spans="1:22" x14ac:dyDescent="0.25">
      <c r="A517" t="s">
        <v>445</v>
      </c>
      <c r="B517" s="14">
        <v>45597</v>
      </c>
      <c r="C517" s="14">
        <v>45608</v>
      </c>
      <c r="D517" s="7">
        <f t="shared" si="59"/>
        <v>11</v>
      </c>
      <c r="E517" s="5" t="str">
        <f t="shared" si="60"/>
        <v>Q4</v>
      </c>
      <c r="F517" t="s">
        <v>649</v>
      </c>
      <c r="G517" t="s">
        <v>656</v>
      </c>
      <c r="H517" t="s">
        <v>698</v>
      </c>
      <c r="I517" t="s">
        <v>704</v>
      </c>
      <c r="J517" t="s">
        <v>710</v>
      </c>
      <c r="K517" t="s">
        <v>717</v>
      </c>
      <c r="L517" t="s">
        <v>728</v>
      </c>
      <c r="M517">
        <f t="shared" si="61"/>
        <v>0.11780526812464824</v>
      </c>
      <c r="N517" t="s">
        <v>1163</v>
      </c>
      <c r="O517" s="7">
        <v>599.84</v>
      </c>
      <c r="P517" s="7">
        <v>1330.85</v>
      </c>
      <c r="Q517" s="12">
        <v>0.115</v>
      </c>
      <c r="R517">
        <v>11</v>
      </c>
      <c r="S517">
        <f t="shared" si="55"/>
        <v>12955.824749999998</v>
      </c>
      <c r="T517">
        <f t="shared" si="56"/>
        <v>6598.2400000000007</v>
      </c>
      <c r="U517">
        <f t="shared" si="57"/>
        <v>6357.5847499999973</v>
      </c>
      <c r="V517">
        <f t="shared" si="58"/>
        <v>0.49071246892252063</v>
      </c>
    </row>
    <row r="518" spans="1:22" x14ac:dyDescent="0.25">
      <c r="A518" t="s">
        <v>633</v>
      </c>
      <c r="B518" s="14">
        <v>45849</v>
      </c>
      <c r="C518" s="14">
        <v>45854</v>
      </c>
      <c r="D518" s="7">
        <f t="shared" si="59"/>
        <v>5</v>
      </c>
      <c r="E518" s="5" t="str">
        <f t="shared" si="60"/>
        <v>Q3</v>
      </c>
      <c r="F518" t="s">
        <v>649</v>
      </c>
      <c r="G518" t="s">
        <v>658</v>
      </c>
      <c r="H518" t="s">
        <v>683</v>
      </c>
      <c r="I518" t="s">
        <v>706</v>
      </c>
      <c r="J518" t="s">
        <v>710</v>
      </c>
      <c r="K518" t="s">
        <v>723</v>
      </c>
      <c r="L518" t="s">
        <v>728</v>
      </c>
      <c r="M518">
        <f t="shared" si="61"/>
        <v>0.22890346845622767</v>
      </c>
      <c r="N518" t="s">
        <v>1350</v>
      </c>
      <c r="O518" s="7">
        <v>930.03</v>
      </c>
      <c r="P518" s="7">
        <v>1086.68</v>
      </c>
      <c r="Q518" s="12">
        <v>0.109</v>
      </c>
      <c r="R518">
        <v>26</v>
      </c>
      <c r="S518">
        <f t="shared" si="55"/>
        <v>25174.028880000002</v>
      </c>
      <c r="T518">
        <f t="shared" si="56"/>
        <v>24180.78</v>
      </c>
      <c r="U518">
        <f t="shared" si="57"/>
        <v>993.24888000000283</v>
      </c>
      <c r="V518">
        <f t="shared" si="58"/>
        <v>3.9455300728168656E-2</v>
      </c>
    </row>
    <row r="519" spans="1:22" x14ac:dyDescent="0.25">
      <c r="A519" t="s">
        <v>411</v>
      </c>
      <c r="B519" s="14">
        <v>45890</v>
      </c>
      <c r="C519" s="14">
        <v>45914</v>
      </c>
      <c r="D519" s="7">
        <f t="shared" si="59"/>
        <v>24</v>
      </c>
      <c r="E519" s="5" t="str">
        <f t="shared" si="60"/>
        <v>Q3</v>
      </c>
      <c r="F519" t="s">
        <v>649</v>
      </c>
      <c r="G519" t="s">
        <v>656</v>
      </c>
      <c r="H519" t="s">
        <v>671</v>
      </c>
      <c r="I519" t="s">
        <v>703</v>
      </c>
      <c r="J519" t="s">
        <v>709</v>
      </c>
      <c r="K519" t="s">
        <v>720</v>
      </c>
      <c r="L519" t="s">
        <v>732</v>
      </c>
      <c r="M519">
        <f t="shared" si="61"/>
        <v>0.51080656761027787</v>
      </c>
      <c r="N519" t="s">
        <v>1129</v>
      </c>
      <c r="O519" s="7">
        <v>1397.67</v>
      </c>
      <c r="P519" s="7">
        <v>3131.37</v>
      </c>
      <c r="Q519" s="12">
        <v>0.10299999999999999</v>
      </c>
      <c r="R519">
        <v>20</v>
      </c>
      <c r="S519">
        <f t="shared" si="55"/>
        <v>56176.777799999996</v>
      </c>
      <c r="T519">
        <f t="shared" si="56"/>
        <v>27953.4</v>
      </c>
      <c r="U519">
        <f t="shared" si="57"/>
        <v>28223.377799999995</v>
      </c>
      <c r="V519">
        <f t="shared" si="58"/>
        <v>0.50240293062874808</v>
      </c>
    </row>
    <row r="520" spans="1:22" x14ac:dyDescent="0.25">
      <c r="A520" t="s">
        <v>523</v>
      </c>
      <c r="B520" s="14">
        <v>45029</v>
      </c>
      <c r="C520" s="14">
        <v>45036</v>
      </c>
      <c r="D520" s="7">
        <f t="shared" si="59"/>
        <v>7</v>
      </c>
      <c r="E520" s="5" t="str">
        <f t="shared" si="60"/>
        <v>Q2</v>
      </c>
      <c r="F520" t="s">
        <v>649</v>
      </c>
      <c r="G520" t="s">
        <v>657</v>
      </c>
      <c r="H520" t="s">
        <v>679</v>
      </c>
      <c r="I520" t="s">
        <v>705</v>
      </c>
      <c r="J520" t="s">
        <v>707</v>
      </c>
      <c r="K520" t="s">
        <v>720</v>
      </c>
      <c r="L520" t="s">
        <v>731</v>
      </c>
      <c r="M520">
        <f t="shared" si="61"/>
        <v>3.5654619483449466E-2</v>
      </c>
      <c r="N520" t="s">
        <v>1241</v>
      </c>
      <c r="O520" s="7">
        <v>227.02</v>
      </c>
      <c r="P520" s="7">
        <v>434.72</v>
      </c>
      <c r="Q520" s="12">
        <v>9.8000000000000004E-2</v>
      </c>
      <c r="R520">
        <v>10</v>
      </c>
      <c r="S520">
        <f t="shared" si="55"/>
        <v>3921.1744000000008</v>
      </c>
      <c r="T520">
        <f t="shared" si="56"/>
        <v>2270.2000000000003</v>
      </c>
      <c r="U520">
        <f t="shared" si="57"/>
        <v>1650.9744000000005</v>
      </c>
      <c r="V520">
        <f t="shared" si="58"/>
        <v>0.42104079838938052</v>
      </c>
    </row>
    <row r="521" spans="1:22" x14ac:dyDescent="0.25">
      <c r="A521" t="s">
        <v>555</v>
      </c>
      <c r="B521" s="14">
        <v>44952</v>
      </c>
      <c r="C521" s="14">
        <v>44972</v>
      </c>
      <c r="D521" s="7">
        <f t="shared" si="59"/>
        <v>20</v>
      </c>
      <c r="E521" s="5" t="str">
        <f t="shared" si="60"/>
        <v>Q1</v>
      </c>
      <c r="F521" t="s">
        <v>649</v>
      </c>
      <c r="G521" t="s">
        <v>656</v>
      </c>
      <c r="H521" t="s">
        <v>671</v>
      </c>
      <c r="I521" t="s">
        <v>705</v>
      </c>
      <c r="J521" t="s">
        <v>707</v>
      </c>
      <c r="K521" t="s">
        <v>719</v>
      </c>
      <c r="L521" t="s">
        <v>729</v>
      </c>
      <c r="M521">
        <f t="shared" si="61"/>
        <v>3.0375884599096677E-2</v>
      </c>
      <c r="N521" t="s">
        <v>1272</v>
      </c>
      <c r="O521" s="7">
        <v>492.62</v>
      </c>
      <c r="P521" s="7">
        <v>366.7</v>
      </c>
      <c r="Q521" s="12">
        <v>8.8999999999999996E-2</v>
      </c>
      <c r="R521">
        <v>10</v>
      </c>
      <c r="S521">
        <f t="shared" si="55"/>
        <v>3340.6370000000002</v>
      </c>
      <c r="T521">
        <f t="shared" si="56"/>
        <v>4926.2</v>
      </c>
      <c r="U521">
        <f t="shared" si="57"/>
        <v>-1585.5629999999996</v>
      </c>
      <c r="V521">
        <f t="shared" si="58"/>
        <v>-0.47462894052840809</v>
      </c>
    </row>
    <row r="522" spans="1:22" x14ac:dyDescent="0.25">
      <c r="A522" t="s">
        <v>397</v>
      </c>
      <c r="B522" s="14">
        <v>45861</v>
      </c>
      <c r="C522" s="14">
        <v>45886</v>
      </c>
      <c r="D522" s="7">
        <f t="shared" si="59"/>
        <v>25</v>
      </c>
      <c r="E522" s="5" t="str">
        <f t="shared" si="60"/>
        <v>Q3</v>
      </c>
      <c r="F522" t="s">
        <v>649</v>
      </c>
      <c r="G522" t="s">
        <v>658</v>
      </c>
      <c r="H522" t="s">
        <v>674</v>
      </c>
      <c r="I522" t="s">
        <v>702</v>
      </c>
      <c r="J522" t="s">
        <v>707</v>
      </c>
      <c r="K522" t="s">
        <v>714</v>
      </c>
      <c r="L522" t="s">
        <v>728</v>
      </c>
      <c r="M522">
        <f t="shared" si="61"/>
        <v>0.3415478792095511</v>
      </c>
      <c r="N522" t="s">
        <v>1115</v>
      </c>
      <c r="O522" s="7">
        <v>1142.06</v>
      </c>
      <c r="P522" s="7">
        <v>1455</v>
      </c>
      <c r="Q522" s="12">
        <v>7.8E-2</v>
      </c>
      <c r="R522">
        <v>28</v>
      </c>
      <c r="S522">
        <f t="shared" si="55"/>
        <v>37562.28</v>
      </c>
      <c r="T522">
        <f t="shared" si="56"/>
        <v>31977.68</v>
      </c>
      <c r="U522">
        <f t="shared" si="57"/>
        <v>5584.5999999999985</v>
      </c>
      <c r="V522">
        <f t="shared" si="58"/>
        <v>0.1486757459877302</v>
      </c>
    </row>
    <row r="523" spans="1:22" x14ac:dyDescent="0.25">
      <c r="A523" t="s">
        <v>335</v>
      </c>
      <c r="B523" s="14">
        <v>45440</v>
      </c>
      <c r="C523" s="14">
        <v>45461</v>
      </c>
      <c r="D523" s="7">
        <f t="shared" si="59"/>
        <v>21</v>
      </c>
      <c r="E523" s="5" t="str">
        <f t="shared" si="60"/>
        <v>Q2</v>
      </c>
      <c r="F523" t="s">
        <v>649</v>
      </c>
      <c r="G523" t="s">
        <v>656</v>
      </c>
      <c r="H523" t="s">
        <v>698</v>
      </c>
      <c r="I523" t="s">
        <v>705</v>
      </c>
      <c r="J523" t="s">
        <v>708</v>
      </c>
      <c r="K523" t="s">
        <v>718</v>
      </c>
      <c r="L523" t="s">
        <v>730</v>
      </c>
      <c r="M523">
        <f t="shared" si="61"/>
        <v>0.20349966009723353</v>
      </c>
      <c r="N523" t="s">
        <v>1054</v>
      </c>
      <c r="O523" s="7">
        <v>986.85</v>
      </c>
      <c r="P523" s="7">
        <v>2422.1</v>
      </c>
      <c r="Q523" s="12">
        <v>7.5999999999999998E-2</v>
      </c>
      <c r="R523">
        <v>10</v>
      </c>
      <c r="S523">
        <f t="shared" si="55"/>
        <v>22380.204000000002</v>
      </c>
      <c r="T523">
        <f t="shared" si="56"/>
        <v>9868.5</v>
      </c>
      <c r="U523">
        <f t="shared" si="57"/>
        <v>12511.704000000002</v>
      </c>
      <c r="V523">
        <f t="shared" si="58"/>
        <v>0.55905227673527913</v>
      </c>
    </row>
    <row r="524" spans="1:22" x14ac:dyDescent="0.25">
      <c r="A524" t="s">
        <v>617</v>
      </c>
      <c r="B524" s="14">
        <v>45880</v>
      </c>
      <c r="C524" s="14">
        <v>45897</v>
      </c>
      <c r="D524" s="7">
        <f t="shared" si="59"/>
        <v>17</v>
      </c>
      <c r="E524" s="5" t="str">
        <f t="shared" si="60"/>
        <v>Q3</v>
      </c>
      <c r="F524" t="s">
        <v>649</v>
      </c>
      <c r="G524" t="s">
        <v>657</v>
      </c>
      <c r="H524" t="s">
        <v>690</v>
      </c>
      <c r="I524" t="s">
        <v>702</v>
      </c>
      <c r="J524" t="s">
        <v>708</v>
      </c>
      <c r="K524" t="s">
        <v>721</v>
      </c>
      <c r="L524" t="s">
        <v>729</v>
      </c>
      <c r="M524">
        <f t="shared" si="61"/>
        <v>9.6619648562028919E-3</v>
      </c>
      <c r="N524" t="s">
        <v>1334</v>
      </c>
      <c r="O524" s="7">
        <v>416.16</v>
      </c>
      <c r="P524" s="7">
        <v>571.9</v>
      </c>
      <c r="Q524" s="12">
        <v>7.0999999999999994E-2</v>
      </c>
      <c r="R524">
        <v>2</v>
      </c>
      <c r="S524">
        <f t="shared" si="55"/>
        <v>1062.5902000000001</v>
      </c>
      <c r="T524">
        <f t="shared" si="56"/>
        <v>832.32</v>
      </c>
      <c r="U524">
        <f t="shared" si="57"/>
        <v>230.27020000000005</v>
      </c>
      <c r="V524">
        <f t="shared" si="58"/>
        <v>0.21670649701079497</v>
      </c>
    </row>
    <row r="525" spans="1:22" x14ac:dyDescent="0.25">
      <c r="A525" t="s">
        <v>85</v>
      </c>
      <c r="B525" s="14">
        <v>45369</v>
      </c>
      <c r="C525" s="14">
        <v>45372</v>
      </c>
      <c r="D525" s="7">
        <f t="shared" si="59"/>
        <v>3</v>
      </c>
      <c r="E525" s="5" t="str">
        <f t="shared" si="60"/>
        <v>Q1</v>
      </c>
      <c r="F525" t="s">
        <v>649</v>
      </c>
      <c r="G525" t="s">
        <v>656</v>
      </c>
      <c r="H525" t="s">
        <v>684</v>
      </c>
      <c r="I525" t="s">
        <v>705</v>
      </c>
      <c r="J525" t="s">
        <v>711</v>
      </c>
      <c r="K525" t="s">
        <v>724</v>
      </c>
      <c r="L525" t="s">
        <v>733</v>
      </c>
      <c r="M525">
        <f t="shared" si="61"/>
        <v>9.6818101658415076E-2</v>
      </c>
      <c r="N525" t="s">
        <v>804</v>
      </c>
      <c r="O525" s="7">
        <v>910.63</v>
      </c>
      <c r="P525" s="7">
        <v>1269.4000000000001</v>
      </c>
      <c r="Q525" s="12">
        <v>6.8000000000000005E-2</v>
      </c>
      <c r="R525">
        <v>9</v>
      </c>
      <c r="S525">
        <f t="shared" si="55"/>
        <v>10647.727199999999</v>
      </c>
      <c r="T525">
        <f t="shared" si="56"/>
        <v>8195.67</v>
      </c>
      <c r="U525">
        <f t="shared" si="57"/>
        <v>2452.0571999999993</v>
      </c>
      <c r="V525">
        <f t="shared" si="58"/>
        <v>0.23028925834989455</v>
      </c>
    </row>
    <row r="526" spans="1:22" x14ac:dyDescent="0.25">
      <c r="A526" t="s">
        <v>484</v>
      </c>
      <c r="B526" s="14">
        <v>45739</v>
      </c>
      <c r="C526" s="14">
        <v>45749</v>
      </c>
      <c r="D526" s="7">
        <f t="shared" si="59"/>
        <v>10</v>
      </c>
      <c r="E526" s="5" t="str">
        <f t="shared" si="60"/>
        <v>Q1</v>
      </c>
      <c r="F526" t="s">
        <v>649</v>
      </c>
      <c r="G526" t="s">
        <v>656</v>
      </c>
      <c r="H526" t="s">
        <v>671</v>
      </c>
      <c r="I526" t="s">
        <v>706</v>
      </c>
      <c r="J526" t="s">
        <v>709</v>
      </c>
      <c r="K526" t="s">
        <v>718</v>
      </c>
      <c r="L526" t="s">
        <v>728</v>
      </c>
      <c r="M526">
        <f t="shared" si="61"/>
        <v>0.1477788692969674</v>
      </c>
      <c r="N526" t="s">
        <v>1202</v>
      </c>
      <c r="O526" s="7">
        <v>663.61</v>
      </c>
      <c r="P526" s="7">
        <v>1002.11</v>
      </c>
      <c r="Q526" s="12">
        <v>4.5999999999999999E-2</v>
      </c>
      <c r="R526">
        <v>17</v>
      </c>
      <c r="S526">
        <f t="shared" si="55"/>
        <v>16252.219979999998</v>
      </c>
      <c r="T526">
        <f t="shared" si="56"/>
        <v>11281.37</v>
      </c>
      <c r="U526">
        <f t="shared" si="57"/>
        <v>4970.8499799999972</v>
      </c>
      <c r="V526">
        <f t="shared" si="58"/>
        <v>0.30585667595670812</v>
      </c>
    </row>
    <row r="527" spans="1:22" x14ac:dyDescent="0.25">
      <c r="A527" t="s">
        <v>34</v>
      </c>
      <c r="B527" s="14">
        <v>45798</v>
      </c>
      <c r="C527" s="15">
        <v>45796</v>
      </c>
      <c r="D527" s="7">
        <f t="shared" si="59"/>
        <v>-2</v>
      </c>
      <c r="E527" s="5" t="str">
        <f t="shared" si="60"/>
        <v>Q2</v>
      </c>
      <c r="F527" t="s">
        <v>649</v>
      </c>
      <c r="G527" t="s">
        <v>658</v>
      </c>
      <c r="H527" t="s">
        <v>674</v>
      </c>
      <c r="I527" t="s">
        <v>706</v>
      </c>
      <c r="J527" t="s">
        <v>707</v>
      </c>
      <c r="K527" t="s">
        <v>724</v>
      </c>
      <c r="L527" t="s">
        <v>731</v>
      </c>
      <c r="M527">
        <f t="shared" si="61"/>
        <v>0.35701864908732528</v>
      </c>
      <c r="N527" t="s">
        <v>753</v>
      </c>
      <c r="O527" s="7">
        <v>1015.16</v>
      </c>
      <c r="P527" s="7">
        <v>2148.14</v>
      </c>
      <c r="Q527" s="12">
        <v>3.7999999999999999E-2</v>
      </c>
      <c r="R527">
        <v>19</v>
      </c>
      <c r="S527">
        <f t="shared" si="55"/>
        <v>39263.702919999996</v>
      </c>
      <c r="T527">
        <f t="shared" si="56"/>
        <v>19288.04</v>
      </c>
      <c r="U527">
        <f t="shared" si="57"/>
        <v>19975.662919999995</v>
      </c>
      <c r="V527">
        <f t="shared" si="58"/>
        <v>0.50875647059322227</v>
      </c>
    </row>
    <row r="528" spans="1:22" x14ac:dyDescent="0.25">
      <c r="A528" t="s">
        <v>528</v>
      </c>
      <c r="B528" s="14">
        <v>45078</v>
      </c>
      <c r="C528" s="14">
        <v>45085</v>
      </c>
      <c r="D528" s="7">
        <f t="shared" si="59"/>
        <v>7</v>
      </c>
      <c r="E528" s="5" t="str">
        <f t="shared" si="60"/>
        <v>Q2</v>
      </c>
      <c r="F528" t="s">
        <v>649</v>
      </c>
      <c r="G528" t="s">
        <v>656</v>
      </c>
      <c r="H528" t="s">
        <v>698</v>
      </c>
      <c r="I528" t="s">
        <v>704</v>
      </c>
      <c r="J528" t="s">
        <v>711</v>
      </c>
      <c r="K528" t="s">
        <v>720</v>
      </c>
      <c r="L528" t="s">
        <v>730</v>
      </c>
      <c r="M528">
        <f t="shared" si="61"/>
        <v>4.7190791850878863E-2</v>
      </c>
      <c r="N528" t="s">
        <v>1246</v>
      </c>
      <c r="O528" s="7">
        <v>804.17</v>
      </c>
      <c r="P528" s="7">
        <v>1072.29</v>
      </c>
      <c r="Q528" s="12">
        <v>3.2000000000000001E-2</v>
      </c>
      <c r="R528">
        <v>5</v>
      </c>
      <c r="S528">
        <f t="shared" si="55"/>
        <v>5189.8836000000001</v>
      </c>
      <c r="T528">
        <f t="shared" si="56"/>
        <v>4020.85</v>
      </c>
      <c r="U528">
        <f t="shared" si="57"/>
        <v>1169.0336000000002</v>
      </c>
      <c r="V528">
        <f t="shared" si="58"/>
        <v>0.2252523736755869</v>
      </c>
    </row>
    <row r="529" spans="1:22" x14ac:dyDescent="0.25">
      <c r="A529" t="s">
        <v>220</v>
      </c>
      <c r="B529" s="14">
        <v>45035</v>
      </c>
      <c r="C529" s="14">
        <v>45044</v>
      </c>
      <c r="D529" s="7">
        <f t="shared" si="59"/>
        <v>9</v>
      </c>
      <c r="E529" s="5" t="str">
        <f t="shared" si="60"/>
        <v>Q2</v>
      </c>
      <c r="F529" t="s">
        <v>649</v>
      </c>
      <c r="G529" t="s">
        <v>656</v>
      </c>
      <c r="H529" t="s">
        <v>671</v>
      </c>
      <c r="I529" t="s">
        <v>702</v>
      </c>
      <c r="J529" t="s">
        <v>708</v>
      </c>
      <c r="K529" t="s">
        <v>718</v>
      </c>
      <c r="L529" t="s">
        <v>732</v>
      </c>
      <c r="M529">
        <f t="shared" si="61"/>
        <v>0.23761148761290893</v>
      </c>
      <c r="N529" t="s">
        <v>939</v>
      </c>
      <c r="O529" s="7">
        <v>1178.42</v>
      </c>
      <c r="P529" s="7">
        <v>2446.56</v>
      </c>
      <c r="Q529" s="12">
        <v>2.9000000000000001E-2</v>
      </c>
      <c r="R529">
        <v>11</v>
      </c>
      <c r="S529">
        <f t="shared" si="55"/>
        <v>26131.70736</v>
      </c>
      <c r="T529">
        <f t="shared" si="56"/>
        <v>12962.62</v>
      </c>
      <c r="U529">
        <f t="shared" si="57"/>
        <v>13169.08736</v>
      </c>
      <c r="V529">
        <f t="shared" si="58"/>
        <v>0.5039505141618883</v>
      </c>
    </row>
    <row r="530" spans="1:22" x14ac:dyDescent="0.25">
      <c r="A530" t="s">
        <v>615</v>
      </c>
      <c r="B530" s="14">
        <v>45360</v>
      </c>
      <c r="C530" s="14">
        <v>45373</v>
      </c>
      <c r="D530" s="7">
        <f t="shared" si="59"/>
        <v>13</v>
      </c>
      <c r="E530" s="5" t="str">
        <f t="shared" si="60"/>
        <v>Q1</v>
      </c>
      <c r="F530" t="s">
        <v>649</v>
      </c>
      <c r="G530" t="s">
        <v>658</v>
      </c>
      <c r="H530" t="s">
        <v>693</v>
      </c>
      <c r="I530" t="s">
        <v>704</v>
      </c>
      <c r="J530" t="s">
        <v>709</v>
      </c>
      <c r="K530" t="s">
        <v>718</v>
      </c>
      <c r="L530" t="s">
        <v>731</v>
      </c>
      <c r="M530">
        <f t="shared" si="61"/>
        <v>0.30859417170600351</v>
      </c>
      <c r="N530" t="s">
        <v>1332</v>
      </c>
      <c r="O530" s="7">
        <v>985.45</v>
      </c>
      <c r="P530" s="7">
        <v>1802.44</v>
      </c>
      <c r="Q530" s="12">
        <v>8.9999999999999993E-3</v>
      </c>
      <c r="R530">
        <v>19</v>
      </c>
      <c r="S530">
        <f t="shared" si="55"/>
        <v>33938.142760000002</v>
      </c>
      <c r="T530">
        <f t="shared" si="56"/>
        <v>18723.55</v>
      </c>
      <c r="U530">
        <f t="shared" si="57"/>
        <v>15214.592760000003</v>
      </c>
      <c r="V530">
        <f t="shared" si="58"/>
        <v>0.44830363486867486</v>
      </c>
    </row>
    <row r="531" spans="1:22" x14ac:dyDescent="0.25">
      <c r="A531" t="s">
        <v>25</v>
      </c>
      <c r="B531" s="14">
        <v>45319</v>
      </c>
      <c r="C531" s="14">
        <v>45331</v>
      </c>
      <c r="D531" s="7">
        <f t="shared" si="59"/>
        <v>12</v>
      </c>
      <c r="E531" s="5" t="str">
        <f t="shared" si="60"/>
        <v>Q1</v>
      </c>
      <c r="F531" t="s">
        <v>649</v>
      </c>
      <c r="G531" t="s">
        <v>656</v>
      </c>
      <c r="H531" t="s">
        <v>671</v>
      </c>
      <c r="I531" t="s">
        <v>701</v>
      </c>
      <c r="J531" t="s">
        <v>711</v>
      </c>
      <c r="K531" t="s">
        <v>715</v>
      </c>
      <c r="L531" t="s">
        <v>733</v>
      </c>
      <c r="M531">
        <f t="shared" si="61"/>
        <v>0.14554133418567425</v>
      </c>
      <c r="N531" t="s">
        <v>744</v>
      </c>
      <c r="O531" s="7">
        <v>644.16999999999996</v>
      </c>
      <c r="P531" s="7">
        <v>700.12</v>
      </c>
      <c r="Q531" s="12">
        <v>6.0000000000000001E-3</v>
      </c>
      <c r="R531">
        <v>23</v>
      </c>
      <c r="S531">
        <f t="shared" si="55"/>
        <v>16006.14344</v>
      </c>
      <c r="T531">
        <f t="shared" si="56"/>
        <v>14815.91</v>
      </c>
      <c r="U531">
        <f t="shared" si="57"/>
        <v>1190.23344</v>
      </c>
      <c r="V531">
        <f t="shared" si="58"/>
        <v>7.436103796405813E-2</v>
      </c>
    </row>
    <row r="532" spans="1:22" x14ac:dyDescent="0.25">
      <c r="A532" t="s">
        <v>314</v>
      </c>
      <c r="B532" s="14">
        <v>45679</v>
      </c>
      <c r="C532" s="14">
        <v>45679</v>
      </c>
      <c r="D532" s="7">
        <f t="shared" si="59"/>
        <v>0</v>
      </c>
      <c r="E532" s="5" t="str">
        <f t="shared" si="60"/>
        <v>Q1</v>
      </c>
      <c r="F532" t="s">
        <v>649</v>
      </c>
      <c r="G532" t="s">
        <v>657</v>
      </c>
      <c r="H532" t="s">
        <v>679</v>
      </c>
      <c r="I532" t="s">
        <v>705</v>
      </c>
      <c r="J532" t="s">
        <v>709</v>
      </c>
      <c r="K532" t="s">
        <v>717</v>
      </c>
      <c r="L532" t="s">
        <v>733</v>
      </c>
      <c r="M532">
        <f t="shared" si="61"/>
        <v>0.11547254723324217</v>
      </c>
      <c r="N532" t="s">
        <v>1033</v>
      </c>
      <c r="O532" s="7">
        <v>591.72</v>
      </c>
      <c r="P532" s="7">
        <v>577.24</v>
      </c>
      <c r="Q532" s="12">
        <v>0</v>
      </c>
      <c r="R532">
        <v>22</v>
      </c>
      <c r="S532">
        <f t="shared" si="55"/>
        <v>12699.28</v>
      </c>
      <c r="T532">
        <f t="shared" si="56"/>
        <v>13017.84</v>
      </c>
      <c r="U532">
        <f t="shared" si="57"/>
        <v>-318.55999999999949</v>
      </c>
      <c r="V532">
        <f t="shared" si="58"/>
        <v>-2.5084886702238195E-2</v>
      </c>
    </row>
    <row r="533" spans="1:22" x14ac:dyDescent="0.25">
      <c r="A533" t="s">
        <v>190</v>
      </c>
      <c r="B533" s="14">
        <v>45761</v>
      </c>
      <c r="C533" s="14">
        <v>45781</v>
      </c>
      <c r="D533" s="7">
        <f t="shared" si="59"/>
        <v>20</v>
      </c>
      <c r="E533" s="5" t="str">
        <f t="shared" si="60"/>
        <v>Q2</v>
      </c>
      <c r="F533" t="s">
        <v>649</v>
      </c>
      <c r="G533" t="s">
        <v>658</v>
      </c>
      <c r="H533" t="s">
        <v>674</v>
      </c>
      <c r="I533" t="s">
        <v>706</v>
      </c>
      <c r="J533" t="s">
        <v>709</v>
      </c>
      <c r="K533" t="s">
        <v>723</v>
      </c>
      <c r="L533" t="s">
        <v>732</v>
      </c>
      <c r="M533">
        <f t="shared" si="61"/>
        <v>0.84304512420128197</v>
      </c>
      <c r="N533" t="s">
        <v>909</v>
      </c>
      <c r="O533" s="7">
        <v>1413.87</v>
      </c>
      <c r="P533" s="7">
        <v>3275</v>
      </c>
      <c r="Q533" s="12">
        <v>0.255</v>
      </c>
      <c r="R533">
        <v>38</v>
      </c>
      <c r="S533">
        <f t="shared" si="55"/>
        <v>92715.25</v>
      </c>
      <c r="T533">
        <f t="shared" si="56"/>
        <v>53727.06</v>
      </c>
      <c r="U533">
        <f t="shared" si="57"/>
        <v>38988.19</v>
      </c>
      <c r="V533">
        <f t="shared" si="58"/>
        <v>0.42051539525590453</v>
      </c>
    </row>
    <row r="534" spans="1:22" x14ac:dyDescent="0.25">
      <c r="A534" t="s">
        <v>426</v>
      </c>
      <c r="B534" s="14">
        <v>45430</v>
      </c>
      <c r="C534" s="14">
        <v>45433</v>
      </c>
      <c r="D534" s="7">
        <f t="shared" si="59"/>
        <v>3</v>
      </c>
      <c r="E534" s="5" t="str">
        <f t="shared" si="60"/>
        <v>Q2</v>
      </c>
      <c r="F534" t="s">
        <v>649</v>
      </c>
      <c r="G534" t="s">
        <v>657</v>
      </c>
      <c r="H534" t="s">
        <v>673</v>
      </c>
      <c r="I534" t="s">
        <v>703</v>
      </c>
      <c r="J534" t="s">
        <v>709</v>
      </c>
      <c r="K534" t="s">
        <v>726</v>
      </c>
      <c r="L534" t="s">
        <v>728</v>
      </c>
      <c r="M534">
        <f t="shared" si="61"/>
        <v>6.2739523210849343E-2</v>
      </c>
      <c r="N534" t="s">
        <v>1144</v>
      </c>
      <c r="O534" s="7">
        <v>663.66</v>
      </c>
      <c r="P534" s="7">
        <v>824.26</v>
      </c>
      <c r="Q534" s="12">
        <v>0.23899999999999999</v>
      </c>
      <c r="R534">
        <v>11</v>
      </c>
      <c r="S534">
        <f t="shared" si="55"/>
        <v>6899.8804600000003</v>
      </c>
      <c r="T534">
        <f t="shared" si="56"/>
        <v>7300.2599999999993</v>
      </c>
      <c r="U534">
        <f t="shared" si="57"/>
        <v>-400.379539999999</v>
      </c>
      <c r="V534">
        <f t="shared" si="58"/>
        <v>-5.8027025587048933E-2</v>
      </c>
    </row>
    <row r="535" spans="1:22" x14ac:dyDescent="0.25">
      <c r="A535" t="s">
        <v>258</v>
      </c>
      <c r="B535" s="14">
        <v>45630</v>
      </c>
      <c r="C535" s="14">
        <v>45638</v>
      </c>
      <c r="D535" s="7">
        <f t="shared" si="59"/>
        <v>8</v>
      </c>
      <c r="E535" s="5" t="str">
        <f t="shared" si="60"/>
        <v>Q4</v>
      </c>
      <c r="F535" t="s">
        <v>649</v>
      </c>
      <c r="G535" t="s">
        <v>656</v>
      </c>
      <c r="H535" t="s">
        <v>698</v>
      </c>
      <c r="I535" t="s">
        <v>706</v>
      </c>
      <c r="J535" t="s">
        <v>710</v>
      </c>
      <c r="K535" t="s">
        <v>717</v>
      </c>
      <c r="L535" t="s">
        <v>728</v>
      </c>
      <c r="M535">
        <f t="shared" si="61"/>
        <v>6.8034739235137776E-3</v>
      </c>
      <c r="N535" t="s">
        <v>977</v>
      </c>
      <c r="O535" s="7">
        <v>72.06</v>
      </c>
      <c r="P535" s="7">
        <v>122.74</v>
      </c>
      <c r="Q535" s="12">
        <v>0.23799999999999999</v>
      </c>
      <c r="R535">
        <v>8</v>
      </c>
      <c r="S535">
        <f t="shared" si="55"/>
        <v>748.22303999999997</v>
      </c>
      <c r="T535">
        <f t="shared" si="56"/>
        <v>576.48</v>
      </c>
      <c r="U535">
        <f t="shared" si="57"/>
        <v>171.74303999999995</v>
      </c>
      <c r="V535">
        <f t="shared" si="58"/>
        <v>0.22953455162246802</v>
      </c>
    </row>
    <row r="536" spans="1:22" x14ac:dyDescent="0.25">
      <c r="A536" t="s">
        <v>77</v>
      </c>
      <c r="B536" s="14">
        <v>45774</v>
      </c>
      <c r="C536" s="14">
        <v>45802</v>
      </c>
      <c r="D536" s="7">
        <f t="shared" si="59"/>
        <v>28</v>
      </c>
      <c r="E536" s="5" t="str">
        <f t="shared" si="60"/>
        <v>Q2</v>
      </c>
      <c r="F536" t="s">
        <v>649</v>
      </c>
      <c r="G536" t="s">
        <v>657</v>
      </c>
      <c r="H536" t="s">
        <v>690</v>
      </c>
      <c r="I536" t="s">
        <v>705</v>
      </c>
      <c r="J536" t="s">
        <v>708</v>
      </c>
      <c r="K536" t="s">
        <v>714</v>
      </c>
      <c r="L536" t="s">
        <v>730</v>
      </c>
      <c r="M536">
        <f t="shared" si="61"/>
        <v>9.954756188894183E-2</v>
      </c>
      <c r="N536" t="s">
        <v>796</v>
      </c>
      <c r="O536" s="7">
        <v>603.45000000000005</v>
      </c>
      <c r="P536" s="7">
        <v>1244.08</v>
      </c>
      <c r="Q536" s="12">
        <v>0.2</v>
      </c>
      <c r="R536">
        <v>11</v>
      </c>
      <c r="S536">
        <f t="shared" si="55"/>
        <v>10947.904</v>
      </c>
      <c r="T536">
        <f t="shared" si="56"/>
        <v>6637.9500000000007</v>
      </c>
      <c r="U536">
        <f t="shared" si="57"/>
        <v>4309.9539999999997</v>
      </c>
      <c r="V536">
        <f t="shared" si="58"/>
        <v>0.39367846119220623</v>
      </c>
    </row>
    <row r="537" spans="1:22" x14ac:dyDescent="0.25">
      <c r="A537" t="s">
        <v>503</v>
      </c>
      <c r="B537" s="14">
        <v>45424</v>
      </c>
      <c r="C537" s="14">
        <v>45436</v>
      </c>
      <c r="D537" s="7">
        <f t="shared" si="59"/>
        <v>12</v>
      </c>
      <c r="E537" s="5" t="str">
        <f t="shared" si="60"/>
        <v>Q2</v>
      </c>
      <c r="F537" t="s">
        <v>649</v>
      </c>
      <c r="G537" t="s">
        <v>658</v>
      </c>
      <c r="H537" t="s">
        <v>693</v>
      </c>
      <c r="I537" t="s">
        <v>702</v>
      </c>
      <c r="J537" t="s">
        <v>708</v>
      </c>
      <c r="K537" t="s">
        <v>723</v>
      </c>
      <c r="L537" t="s">
        <v>728</v>
      </c>
      <c r="M537">
        <f t="shared" si="61"/>
        <v>3.6606477830149253E-2</v>
      </c>
      <c r="N537" t="s">
        <v>1221</v>
      </c>
      <c r="O537" s="7">
        <v>111.02</v>
      </c>
      <c r="P537" s="7">
        <v>172.88</v>
      </c>
      <c r="Q537" s="12">
        <v>0.19700000000000001</v>
      </c>
      <c r="R537">
        <v>29</v>
      </c>
      <c r="S537">
        <f t="shared" si="55"/>
        <v>4025.8565599999993</v>
      </c>
      <c r="T537">
        <f t="shared" si="56"/>
        <v>3219.58</v>
      </c>
      <c r="U537">
        <f t="shared" si="57"/>
        <v>806.27655999999934</v>
      </c>
      <c r="V537">
        <f t="shared" si="58"/>
        <v>0.20027453735212053</v>
      </c>
    </row>
    <row r="538" spans="1:22" x14ac:dyDescent="0.25">
      <c r="A538" t="s">
        <v>213</v>
      </c>
      <c r="B538" s="14">
        <v>44956</v>
      </c>
      <c r="C538" s="14">
        <v>44978</v>
      </c>
      <c r="D538" s="7">
        <f t="shared" si="59"/>
        <v>22</v>
      </c>
      <c r="E538" s="5" t="str">
        <f t="shared" si="60"/>
        <v>Q1</v>
      </c>
      <c r="F538" t="s">
        <v>649</v>
      </c>
      <c r="G538" t="s">
        <v>656</v>
      </c>
      <c r="H538" t="s">
        <v>684</v>
      </c>
      <c r="I538" t="s">
        <v>705</v>
      </c>
      <c r="J538" t="s">
        <v>710</v>
      </c>
      <c r="K538" t="s">
        <v>715</v>
      </c>
      <c r="L538" t="s">
        <v>729</v>
      </c>
      <c r="M538">
        <f t="shared" si="61"/>
        <v>7.5918160734647522E-2</v>
      </c>
      <c r="N538" t="s">
        <v>932</v>
      </c>
      <c r="O538" s="7">
        <v>1142.8800000000001</v>
      </c>
      <c r="P538" s="7">
        <v>1465.29</v>
      </c>
      <c r="Q538" s="12">
        <v>0.186</v>
      </c>
      <c r="R538">
        <v>7</v>
      </c>
      <c r="S538">
        <f t="shared" si="55"/>
        <v>8349.2224200000001</v>
      </c>
      <c r="T538">
        <f t="shared" si="56"/>
        <v>8000.1600000000008</v>
      </c>
      <c r="U538">
        <f t="shared" si="57"/>
        <v>349.06241999999929</v>
      </c>
      <c r="V538">
        <f t="shared" si="58"/>
        <v>4.1807775915017401E-2</v>
      </c>
    </row>
    <row r="539" spans="1:22" x14ac:dyDescent="0.25">
      <c r="A539" t="s">
        <v>453</v>
      </c>
      <c r="B539" s="14">
        <v>45290</v>
      </c>
      <c r="C539" s="14">
        <v>45299</v>
      </c>
      <c r="D539" s="7">
        <f t="shared" si="59"/>
        <v>9</v>
      </c>
      <c r="E539" s="5" t="str">
        <f t="shared" si="60"/>
        <v>Q4</v>
      </c>
      <c r="F539" t="s">
        <v>649</v>
      </c>
      <c r="G539" t="s">
        <v>657</v>
      </c>
      <c r="H539" t="s">
        <v>673</v>
      </c>
      <c r="I539" t="s">
        <v>704</v>
      </c>
      <c r="J539" t="s">
        <v>710</v>
      </c>
      <c r="K539" t="s">
        <v>716</v>
      </c>
      <c r="L539" t="s">
        <v>733</v>
      </c>
      <c r="M539">
        <f t="shared" si="61"/>
        <v>0.22076374174390739</v>
      </c>
      <c r="N539" t="s">
        <v>1171</v>
      </c>
      <c r="O539" s="7">
        <v>861.1</v>
      </c>
      <c r="P539" s="7">
        <v>1224.72</v>
      </c>
      <c r="Q539" s="12">
        <v>0.17399999999999999</v>
      </c>
      <c r="R539">
        <v>24</v>
      </c>
      <c r="S539">
        <f t="shared" si="55"/>
        <v>24278.849280000002</v>
      </c>
      <c r="T539">
        <f t="shared" si="56"/>
        <v>20666.400000000001</v>
      </c>
      <c r="U539">
        <f t="shared" si="57"/>
        <v>3612.4492800000007</v>
      </c>
      <c r="V539">
        <f t="shared" si="58"/>
        <v>0.14878997098827909</v>
      </c>
    </row>
    <row r="540" spans="1:22" x14ac:dyDescent="0.25">
      <c r="A540" t="s">
        <v>629</v>
      </c>
      <c r="B540" s="14">
        <v>45137</v>
      </c>
      <c r="C540" s="14">
        <v>45157</v>
      </c>
      <c r="D540" s="7">
        <f t="shared" si="59"/>
        <v>20</v>
      </c>
      <c r="E540" s="5" t="str">
        <f t="shared" si="60"/>
        <v>Q3</v>
      </c>
      <c r="F540" t="s">
        <v>649</v>
      </c>
      <c r="G540" t="s">
        <v>657</v>
      </c>
      <c r="H540" t="s">
        <v>690</v>
      </c>
      <c r="I540" t="s">
        <v>706</v>
      </c>
      <c r="J540" t="s">
        <v>709</v>
      </c>
      <c r="K540" t="s">
        <v>715</v>
      </c>
      <c r="L540" t="s">
        <v>729</v>
      </c>
      <c r="M540">
        <f t="shared" si="61"/>
        <v>0.16822388405767394</v>
      </c>
      <c r="N540" t="s">
        <v>1346</v>
      </c>
      <c r="O540" s="7">
        <v>1418.51</v>
      </c>
      <c r="P540" s="7">
        <v>2789.61</v>
      </c>
      <c r="Q540" s="12">
        <v>0.17100000000000001</v>
      </c>
      <c r="R540">
        <v>8</v>
      </c>
      <c r="S540">
        <f t="shared" si="55"/>
        <v>18500.693520000001</v>
      </c>
      <c r="T540">
        <f t="shared" si="56"/>
        <v>11348.08</v>
      </c>
      <c r="U540">
        <f t="shared" si="57"/>
        <v>7152.6135200000008</v>
      </c>
      <c r="V540">
        <f t="shared" si="58"/>
        <v>0.38661326464695689</v>
      </c>
    </row>
    <row r="541" spans="1:22" x14ac:dyDescent="0.25">
      <c r="A541" t="s">
        <v>262</v>
      </c>
      <c r="B541" s="14">
        <v>45769</v>
      </c>
      <c r="C541" s="14">
        <v>45779</v>
      </c>
      <c r="D541" s="7">
        <f t="shared" si="59"/>
        <v>10</v>
      </c>
      <c r="E541" s="5" t="str">
        <f t="shared" si="60"/>
        <v>Q2</v>
      </c>
      <c r="F541" t="s">
        <v>649</v>
      </c>
      <c r="G541" t="s">
        <v>656</v>
      </c>
      <c r="H541" t="s">
        <v>671</v>
      </c>
      <c r="I541" t="s">
        <v>701</v>
      </c>
      <c r="J541" t="s">
        <v>711</v>
      </c>
      <c r="K541" t="s">
        <v>712</v>
      </c>
      <c r="L541" t="s">
        <v>732</v>
      </c>
      <c r="M541">
        <f t="shared" si="61"/>
        <v>5.5221437192788485E-3</v>
      </c>
      <c r="N541" t="s">
        <v>981</v>
      </c>
      <c r="O541" s="7">
        <v>20.149999999999999</v>
      </c>
      <c r="P541" s="7">
        <v>39.74</v>
      </c>
      <c r="Q541" s="12">
        <v>0.151</v>
      </c>
      <c r="R541">
        <v>18</v>
      </c>
      <c r="S541">
        <f t="shared" si="55"/>
        <v>607.30668000000003</v>
      </c>
      <c r="T541">
        <f t="shared" si="56"/>
        <v>362.7</v>
      </c>
      <c r="U541">
        <f t="shared" si="57"/>
        <v>244.60668000000004</v>
      </c>
      <c r="V541">
        <f t="shared" si="58"/>
        <v>0.4027729120318585</v>
      </c>
    </row>
    <row r="542" spans="1:22" x14ac:dyDescent="0.25">
      <c r="A542" t="s">
        <v>301</v>
      </c>
      <c r="B542" s="14">
        <v>45751</v>
      </c>
      <c r="C542" s="14">
        <v>45760</v>
      </c>
      <c r="D542" s="7">
        <f t="shared" si="59"/>
        <v>9</v>
      </c>
      <c r="E542" s="5" t="str">
        <f t="shared" si="60"/>
        <v>Q2</v>
      </c>
      <c r="F542" t="s">
        <v>649</v>
      </c>
      <c r="G542" t="s">
        <v>656</v>
      </c>
      <c r="H542" t="s">
        <v>684</v>
      </c>
      <c r="I542" t="s">
        <v>704</v>
      </c>
      <c r="J542" t="s">
        <v>707</v>
      </c>
      <c r="K542" t="s">
        <v>721</v>
      </c>
      <c r="L542" t="s">
        <v>730</v>
      </c>
      <c r="M542">
        <f t="shared" si="61"/>
        <v>6.9231735511608543E-4</v>
      </c>
      <c r="N542" t="s">
        <v>1020</v>
      </c>
      <c r="O542" s="7">
        <v>7.02</v>
      </c>
      <c r="P542" s="7">
        <v>6.28</v>
      </c>
      <c r="Q542" s="12">
        <v>0.13400000000000001</v>
      </c>
      <c r="R542">
        <v>14</v>
      </c>
      <c r="S542">
        <f t="shared" si="55"/>
        <v>76.138720000000006</v>
      </c>
      <c r="T542">
        <f t="shared" si="56"/>
        <v>98.28</v>
      </c>
      <c r="U542">
        <f t="shared" si="57"/>
        <v>-22.141279999999995</v>
      </c>
      <c r="V542">
        <f t="shared" si="58"/>
        <v>-0.29080184169106066</v>
      </c>
    </row>
    <row r="543" spans="1:22" x14ac:dyDescent="0.25">
      <c r="A543" t="s">
        <v>497</v>
      </c>
      <c r="B543" s="14">
        <v>45899</v>
      </c>
      <c r="C543" s="14">
        <v>45903</v>
      </c>
      <c r="D543" s="7">
        <f t="shared" si="59"/>
        <v>4</v>
      </c>
      <c r="E543" s="5" t="str">
        <f t="shared" si="60"/>
        <v>Q3</v>
      </c>
      <c r="F543" t="s">
        <v>649</v>
      </c>
      <c r="G543" t="s">
        <v>657</v>
      </c>
      <c r="H543" t="s">
        <v>673</v>
      </c>
      <c r="I543" t="s">
        <v>705</v>
      </c>
      <c r="J543" t="s">
        <v>710</v>
      </c>
      <c r="K543" t="s">
        <v>713</v>
      </c>
      <c r="L543" t="s">
        <v>731</v>
      </c>
      <c r="M543">
        <f t="shared" si="61"/>
        <v>0.32880714350249401</v>
      </c>
      <c r="N543" t="s">
        <v>1215</v>
      </c>
      <c r="O543" s="7">
        <v>1286.56</v>
      </c>
      <c r="P543" s="7">
        <v>2777.35</v>
      </c>
      <c r="Q543" s="12">
        <v>0.13200000000000001</v>
      </c>
      <c r="R543">
        <v>15</v>
      </c>
      <c r="S543">
        <f t="shared" si="55"/>
        <v>36161.097000000002</v>
      </c>
      <c r="T543">
        <f t="shared" si="56"/>
        <v>19298.399999999998</v>
      </c>
      <c r="U543">
        <f t="shared" si="57"/>
        <v>16862.697000000004</v>
      </c>
      <c r="V543">
        <f t="shared" si="58"/>
        <v>0.46632150014696744</v>
      </c>
    </row>
    <row r="544" spans="1:22" x14ac:dyDescent="0.25">
      <c r="A544" t="s">
        <v>173</v>
      </c>
      <c r="B544" s="14">
        <v>45703</v>
      </c>
      <c r="C544" s="14">
        <v>45703</v>
      </c>
      <c r="D544" s="7">
        <f t="shared" si="59"/>
        <v>0</v>
      </c>
      <c r="E544" s="5" t="str">
        <f t="shared" si="60"/>
        <v>Q1</v>
      </c>
      <c r="F544" t="s">
        <v>649</v>
      </c>
      <c r="G544" t="s">
        <v>656</v>
      </c>
      <c r="H544" t="s">
        <v>698</v>
      </c>
      <c r="I544" t="s">
        <v>705</v>
      </c>
      <c r="J544" t="s">
        <v>709</v>
      </c>
      <c r="K544" t="s">
        <v>716</v>
      </c>
      <c r="L544" t="s">
        <v>733</v>
      </c>
      <c r="M544">
        <f t="shared" si="61"/>
        <v>9.4407876927553327E-2</v>
      </c>
      <c r="N544" t="s">
        <v>892</v>
      </c>
      <c r="O544" s="7">
        <v>815.83</v>
      </c>
      <c r="P544" s="7">
        <v>1982.18</v>
      </c>
      <c r="Q544" s="12">
        <v>0.127</v>
      </c>
      <c r="R544">
        <v>6</v>
      </c>
      <c r="S544">
        <f t="shared" si="55"/>
        <v>10382.65884</v>
      </c>
      <c r="T544">
        <f t="shared" si="56"/>
        <v>4894.9800000000005</v>
      </c>
      <c r="U544">
        <f t="shared" si="57"/>
        <v>5487.6788399999996</v>
      </c>
      <c r="V544">
        <f t="shared" si="58"/>
        <v>0.52854272923408507</v>
      </c>
    </row>
    <row r="545" spans="1:22" x14ac:dyDescent="0.25">
      <c r="A545" t="s">
        <v>64</v>
      </c>
      <c r="B545" s="14">
        <v>45117</v>
      </c>
      <c r="C545" s="14">
        <v>45139</v>
      </c>
      <c r="D545" s="7">
        <f t="shared" si="59"/>
        <v>22</v>
      </c>
      <c r="E545" s="5" t="str">
        <f t="shared" si="60"/>
        <v>Q3</v>
      </c>
      <c r="F545" t="s">
        <v>649</v>
      </c>
      <c r="G545" t="s">
        <v>657</v>
      </c>
      <c r="H545" t="s">
        <v>673</v>
      </c>
      <c r="I545" t="s">
        <v>704</v>
      </c>
      <c r="J545" t="s">
        <v>709</v>
      </c>
      <c r="K545" t="s">
        <v>717</v>
      </c>
      <c r="L545" t="s">
        <v>728</v>
      </c>
      <c r="M545">
        <f t="shared" si="61"/>
        <v>0.31319805585739763</v>
      </c>
      <c r="N545" t="s">
        <v>783</v>
      </c>
      <c r="O545" s="7">
        <v>1303.56</v>
      </c>
      <c r="P545" s="7">
        <v>1791.37</v>
      </c>
      <c r="Q545" s="12">
        <v>0.126</v>
      </c>
      <c r="R545">
        <v>22</v>
      </c>
      <c r="S545">
        <f t="shared" si="55"/>
        <v>34444.462359999998</v>
      </c>
      <c r="T545">
        <f t="shared" si="56"/>
        <v>28678.32</v>
      </c>
      <c r="U545">
        <f t="shared" si="57"/>
        <v>5766.142359999998</v>
      </c>
      <c r="V545">
        <f t="shared" si="58"/>
        <v>0.16740404596055358</v>
      </c>
    </row>
    <row r="546" spans="1:22" x14ac:dyDescent="0.25">
      <c r="A546" t="s">
        <v>418</v>
      </c>
      <c r="B546" s="14">
        <v>45497</v>
      </c>
      <c r="C546" s="14">
        <v>45512</v>
      </c>
      <c r="D546" s="7">
        <f t="shared" si="59"/>
        <v>15</v>
      </c>
      <c r="E546" s="5" t="str">
        <f t="shared" si="60"/>
        <v>Q3</v>
      </c>
      <c r="F546" t="s">
        <v>649</v>
      </c>
      <c r="G546" t="s">
        <v>657</v>
      </c>
      <c r="H546" t="s">
        <v>673</v>
      </c>
      <c r="I546" t="s">
        <v>706</v>
      </c>
      <c r="J546" t="s">
        <v>711</v>
      </c>
      <c r="K546" t="s">
        <v>722</v>
      </c>
      <c r="L546" t="s">
        <v>731</v>
      </c>
      <c r="M546">
        <f t="shared" si="61"/>
        <v>4.7741275236650713E-2</v>
      </c>
      <c r="N546" t="s">
        <v>1136</v>
      </c>
      <c r="O546" s="7">
        <v>501.5</v>
      </c>
      <c r="P546" s="7">
        <v>1201.47</v>
      </c>
      <c r="Q546" s="12">
        <v>0.126</v>
      </c>
      <c r="R546">
        <v>5</v>
      </c>
      <c r="S546">
        <f t="shared" si="55"/>
        <v>5250.4239000000007</v>
      </c>
      <c r="T546">
        <f t="shared" si="56"/>
        <v>2507.5</v>
      </c>
      <c r="U546">
        <f t="shared" si="57"/>
        <v>2742.9239000000007</v>
      </c>
      <c r="V546">
        <f t="shared" si="58"/>
        <v>0.52241951359394057</v>
      </c>
    </row>
    <row r="547" spans="1:22" x14ac:dyDescent="0.25">
      <c r="A547" t="s">
        <v>563</v>
      </c>
      <c r="B547" s="14">
        <v>44985</v>
      </c>
      <c r="C547" s="14">
        <v>44991</v>
      </c>
      <c r="D547" s="7">
        <f t="shared" si="59"/>
        <v>6</v>
      </c>
      <c r="E547" s="5" t="str">
        <f t="shared" si="60"/>
        <v>Q1</v>
      </c>
      <c r="F547" t="s">
        <v>649</v>
      </c>
      <c r="G547" t="s">
        <v>656</v>
      </c>
      <c r="H547" t="s">
        <v>698</v>
      </c>
      <c r="I547" t="s">
        <v>705</v>
      </c>
      <c r="J547" t="s">
        <v>707</v>
      </c>
      <c r="K547" t="s">
        <v>726</v>
      </c>
      <c r="L547" t="s">
        <v>728</v>
      </c>
      <c r="M547">
        <f t="shared" si="61"/>
        <v>0.28935263741836448</v>
      </c>
      <c r="N547" t="s">
        <v>1280</v>
      </c>
      <c r="O547" s="7">
        <v>880.02</v>
      </c>
      <c r="P547" s="7">
        <v>1251.21</v>
      </c>
      <c r="Q547" s="12">
        <v>0.123</v>
      </c>
      <c r="R547">
        <v>29</v>
      </c>
      <c r="S547">
        <f t="shared" si="55"/>
        <v>31822.023930000003</v>
      </c>
      <c r="T547">
        <f t="shared" si="56"/>
        <v>25520.579999999998</v>
      </c>
      <c r="U547">
        <f t="shared" si="57"/>
        <v>6301.4439300000049</v>
      </c>
      <c r="V547">
        <f t="shared" si="58"/>
        <v>0.19802146915172672</v>
      </c>
    </row>
    <row r="548" spans="1:22" x14ac:dyDescent="0.25">
      <c r="A548" t="s">
        <v>547</v>
      </c>
      <c r="B548" s="14">
        <v>45769</v>
      </c>
      <c r="C548" s="14">
        <v>45789</v>
      </c>
      <c r="D548" s="7">
        <f t="shared" si="59"/>
        <v>20</v>
      </c>
      <c r="E548" s="5" t="str">
        <f t="shared" si="60"/>
        <v>Q2</v>
      </c>
      <c r="F548" t="s">
        <v>649</v>
      </c>
      <c r="G548" t="s">
        <v>657</v>
      </c>
      <c r="H548" t="s">
        <v>679</v>
      </c>
      <c r="I548" t="s">
        <v>706</v>
      </c>
      <c r="J548" t="s">
        <v>711</v>
      </c>
      <c r="K548" t="s">
        <v>723</v>
      </c>
      <c r="L548" t="s">
        <v>732</v>
      </c>
      <c r="M548">
        <f t="shared" si="61"/>
        <v>4.8608238627231631E-3</v>
      </c>
      <c r="N548" t="s">
        <v>1265</v>
      </c>
      <c r="O548" s="7">
        <v>59.51</v>
      </c>
      <c r="P548" s="7">
        <v>67.040000000000006</v>
      </c>
      <c r="Q548" s="12">
        <v>0.114</v>
      </c>
      <c r="R548">
        <v>9</v>
      </c>
      <c r="S548">
        <f t="shared" si="55"/>
        <v>534.57695999999999</v>
      </c>
      <c r="T548">
        <f t="shared" si="56"/>
        <v>535.59</v>
      </c>
      <c r="U548">
        <f t="shared" si="57"/>
        <v>-1.0130400000000463</v>
      </c>
      <c r="V548">
        <f t="shared" si="58"/>
        <v>-1.8950311663264469E-3</v>
      </c>
    </row>
    <row r="549" spans="1:22" x14ac:dyDescent="0.25">
      <c r="A549" t="s">
        <v>375</v>
      </c>
      <c r="B549" s="14">
        <v>45466</v>
      </c>
      <c r="C549" s="14">
        <v>45468</v>
      </c>
      <c r="D549" s="7">
        <f t="shared" si="59"/>
        <v>2</v>
      </c>
      <c r="E549" s="5" t="str">
        <f t="shared" si="60"/>
        <v>Q2</v>
      </c>
      <c r="F549" t="s">
        <v>649</v>
      </c>
      <c r="G549" t="s">
        <v>658</v>
      </c>
      <c r="H549" t="s">
        <v>674</v>
      </c>
      <c r="I549" t="s">
        <v>705</v>
      </c>
      <c r="J549" t="s">
        <v>710</v>
      </c>
      <c r="K549" t="s">
        <v>716</v>
      </c>
      <c r="L549" t="s">
        <v>733</v>
      </c>
      <c r="M549">
        <f t="shared" si="61"/>
        <v>0.31977474884439172</v>
      </c>
      <c r="N549" t="s">
        <v>1094</v>
      </c>
      <c r="O549" s="7">
        <v>951.44</v>
      </c>
      <c r="P549" s="7">
        <v>1646.43</v>
      </c>
      <c r="Q549" s="12">
        <v>0.11</v>
      </c>
      <c r="R549">
        <v>24</v>
      </c>
      <c r="S549">
        <f t="shared" si="55"/>
        <v>35167.7448</v>
      </c>
      <c r="T549">
        <f t="shared" si="56"/>
        <v>22834.560000000001</v>
      </c>
      <c r="U549">
        <f t="shared" si="57"/>
        <v>12333.184799999999</v>
      </c>
      <c r="V549">
        <f t="shared" si="58"/>
        <v>0.35069592520473475</v>
      </c>
    </row>
    <row r="550" spans="1:22" x14ac:dyDescent="0.25">
      <c r="A550" t="s">
        <v>191</v>
      </c>
      <c r="B550" s="14">
        <v>45165</v>
      </c>
      <c r="C550" s="14">
        <v>45180</v>
      </c>
      <c r="D550" s="7">
        <f t="shared" si="59"/>
        <v>15</v>
      </c>
      <c r="E550" s="5" t="str">
        <f t="shared" si="60"/>
        <v>Q3</v>
      </c>
      <c r="F550" t="s">
        <v>649</v>
      </c>
      <c r="G550" t="s">
        <v>658</v>
      </c>
      <c r="H550" t="s">
        <v>683</v>
      </c>
      <c r="I550" t="s">
        <v>704</v>
      </c>
      <c r="J550" t="s">
        <v>711</v>
      </c>
      <c r="K550" t="s">
        <v>725</v>
      </c>
      <c r="L550" t="s">
        <v>728</v>
      </c>
      <c r="M550">
        <f t="shared" si="61"/>
        <v>0.14236181391743985</v>
      </c>
      <c r="N550" t="s">
        <v>910</v>
      </c>
      <c r="O550" s="7">
        <v>943.79</v>
      </c>
      <c r="P550" s="7">
        <v>1913.76</v>
      </c>
      <c r="Q550" s="12">
        <v>9.0999999999999998E-2</v>
      </c>
      <c r="R550">
        <v>9</v>
      </c>
      <c r="S550">
        <f t="shared" si="55"/>
        <v>15656.47056</v>
      </c>
      <c r="T550">
        <f t="shared" si="56"/>
        <v>8494.11</v>
      </c>
      <c r="U550">
        <f t="shared" si="57"/>
        <v>7162.3605599999992</v>
      </c>
      <c r="V550">
        <f t="shared" si="58"/>
        <v>0.45746967891338081</v>
      </c>
    </row>
    <row r="551" spans="1:22" x14ac:dyDescent="0.25">
      <c r="A551" t="s">
        <v>97</v>
      </c>
      <c r="B551" s="14">
        <v>45791</v>
      </c>
      <c r="C551" s="14">
        <v>45801</v>
      </c>
      <c r="D551" s="7">
        <f t="shared" si="59"/>
        <v>10</v>
      </c>
      <c r="E551" s="5" t="str">
        <f t="shared" si="60"/>
        <v>Q2</v>
      </c>
      <c r="F551" t="s">
        <v>649</v>
      </c>
      <c r="G551" t="s">
        <v>657</v>
      </c>
      <c r="H551" t="s">
        <v>690</v>
      </c>
      <c r="I551" t="s">
        <v>705</v>
      </c>
      <c r="J551" t="s">
        <v>707</v>
      </c>
      <c r="K551" t="s">
        <v>723</v>
      </c>
      <c r="L551" t="s">
        <v>727</v>
      </c>
      <c r="M551">
        <f t="shared" si="61"/>
        <v>4.8480029554277208E-2</v>
      </c>
      <c r="N551" t="s">
        <v>816</v>
      </c>
      <c r="O551" s="7">
        <v>170.39</v>
      </c>
      <c r="P551" s="7">
        <v>388.04</v>
      </c>
      <c r="Q551" s="12">
        <v>8.4000000000000005E-2</v>
      </c>
      <c r="R551">
        <v>15</v>
      </c>
      <c r="S551">
        <f t="shared" si="55"/>
        <v>5331.6696000000002</v>
      </c>
      <c r="T551">
        <f t="shared" si="56"/>
        <v>2555.85</v>
      </c>
      <c r="U551">
        <f t="shared" si="57"/>
        <v>2775.8196000000003</v>
      </c>
      <c r="V551">
        <f t="shared" si="58"/>
        <v>0.52062858508711796</v>
      </c>
    </row>
    <row r="552" spans="1:22" x14ac:dyDescent="0.25">
      <c r="A552" t="s">
        <v>376</v>
      </c>
      <c r="B552" s="14">
        <v>45833</v>
      </c>
      <c r="C552" s="14">
        <v>45848</v>
      </c>
      <c r="D552" s="7">
        <f t="shared" si="59"/>
        <v>15</v>
      </c>
      <c r="E552" s="5" t="str">
        <f t="shared" si="60"/>
        <v>Q2</v>
      </c>
      <c r="F552" t="s">
        <v>649</v>
      </c>
      <c r="G552" t="s">
        <v>658</v>
      </c>
      <c r="H552" t="s">
        <v>674</v>
      </c>
      <c r="I552" t="s">
        <v>703</v>
      </c>
      <c r="J552" t="s">
        <v>708</v>
      </c>
      <c r="K552" t="s">
        <v>726</v>
      </c>
      <c r="L552" t="s">
        <v>730</v>
      </c>
      <c r="M552">
        <f t="shared" si="61"/>
        <v>4.3686270857403876E-2</v>
      </c>
      <c r="N552" t="s">
        <v>1095</v>
      </c>
      <c r="O552" s="7">
        <v>546.83000000000004</v>
      </c>
      <c r="P552" s="7">
        <v>400.84</v>
      </c>
      <c r="Q552" s="12">
        <v>7.8E-2</v>
      </c>
      <c r="R552">
        <v>13</v>
      </c>
      <c r="S552">
        <f t="shared" si="55"/>
        <v>4804.4682400000002</v>
      </c>
      <c r="T552">
        <f t="shared" si="56"/>
        <v>7108.7900000000009</v>
      </c>
      <c r="U552">
        <f t="shared" si="57"/>
        <v>-2304.3217600000007</v>
      </c>
      <c r="V552">
        <f t="shared" si="58"/>
        <v>-0.47962056254533608</v>
      </c>
    </row>
    <row r="553" spans="1:22" x14ac:dyDescent="0.25">
      <c r="A553" t="s">
        <v>73</v>
      </c>
      <c r="B553" s="14">
        <v>45817</v>
      </c>
      <c r="C553" s="14">
        <v>45826</v>
      </c>
      <c r="D553" s="7">
        <f t="shared" si="59"/>
        <v>9</v>
      </c>
      <c r="E553" s="5" t="str">
        <f t="shared" si="60"/>
        <v>Q2</v>
      </c>
      <c r="F553" t="s">
        <v>649</v>
      </c>
      <c r="G553" t="s">
        <v>657</v>
      </c>
      <c r="H553" t="s">
        <v>673</v>
      </c>
      <c r="I553" t="s">
        <v>705</v>
      </c>
      <c r="J553" t="s">
        <v>710</v>
      </c>
      <c r="K553" t="s">
        <v>722</v>
      </c>
      <c r="L553" t="s">
        <v>733</v>
      </c>
      <c r="M553">
        <f t="shared" si="61"/>
        <v>0.37873380240041049</v>
      </c>
      <c r="N553" t="s">
        <v>792</v>
      </c>
      <c r="O553" s="7">
        <v>1225.5</v>
      </c>
      <c r="P553" s="7">
        <v>804.09</v>
      </c>
      <c r="Q553" s="12">
        <v>7.4999999999999997E-2</v>
      </c>
      <c r="R553">
        <v>56</v>
      </c>
      <c r="S553">
        <f t="shared" si="55"/>
        <v>41651.862000000001</v>
      </c>
      <c r="T553">
        <f t="shared" si="56"/>
        <v>68628</v>
      </c>
      <c r="U553">
        <f t="shared" si="57"/>
        <v>-26976.137999999999</v>
      </c>
      <c r="V553">
        <f t="shared" si="58"/>
        <v>-0.6476574324576414</v>
      </c>
    </row>
    <row r="554" spans="1:22" x14ac:dyDescent="0.25">
      <c r="A554" t="s">
        <v>141</v>
      </c>
      <c r="B554" s="14">
        <v>45450</v>
      </c>
      <c r="C554" s="14">
        <v>45469</v>
      </c>
      <c r="D554" s="7">
        <f t="shared" si="59"/>
        <v>19</v>
      </c>
      <c r="E554" s="5" t="str">
        <f t="shared" si="60"/>
        <v>Q2</v>
      </c>
      <c r="F554" t="s">
        <v>649</v>
      </c>
      <c r="G554" t="s">
        <v>656</v>
      </c>
      <c r="H554" t="s">
        <v>671</v>
      </c>
      <c r="I554" t="s">
        <v>703</v>
      </c>
      <c r="J554" t="s">
        <v>711</v>
      </c>
      <c r="K554" t="s">
        <v>724</v>
      </c>
      <c r="L554" t="s">
        <v>727</v>
      </c>
      <c r="M554">
        <f t="shared" si="61"/>
        <v>0.59204755005583154</v>
      </c>
      <c r="N554" t="s">
        <v>860</v>
      </c>
      <c r="O554" s="7">
        <v>1064.32</v>
      </c>
      <c r="P554" s="7">
        <v>1848.39</v>
      </c>
      <c r="Q554" s="12">
        <v>7.2999999999999995E-2</v>
      </c>
      <c r="R554">
        <v>38</v>
      </c>
      <c r="S554">
        <f t="shared" si="55"/>
        <v>65111.38614000001</v>
      </c>
      <c r="T554">
        <f t="shared" si="56"/>
        <v>40444.159999999996</v>
      </c>
      <c r="U554">
        <f t="shared" si="57"/>
        <v>24667.226140000013</v>
      </c>
      <c r="V554">
        <f t="shared" si="58"/>
        <v>0.3788465827921631</v>
      </c>
    </row>
    <row r="555" spans="1:22" x14ac:dyDescent="0.25">
      <c r="A555" t="s">
        <v>579</v>
      </c>
      <c r="B555" s="14">
        <v>45692</v>
      </c>
      <c r="C555" s="14">
        <v>45696</v>
      </c>
      <c r="D555" s="7">
        <f t="shared" si="59"/>
        <v>4</v>
      </c>
      <c r="E555" s="5" t="str">
        <f t="shared" si="60"/>
        <v>Q1</v>
      </c>
      <c r="F555" t="s">
        <v>649</v>
      </c>
      <c r="G555" t="s">
        <v>658</v>
      </c>
      <c r="H555" t="s">
        <v>693</v>
      </c>
      <c r="I555" t="s">
        <v>706</v>
      </c>
      <c r="J555" t="s">
        <v>710</v>
      </c>
      <c r="K555" t="s">
        <v>716</v>
      </c>
      <c r="L555" t="s">
        <v>729</v>
      </c>
      <c r="M555">
        <f t="shared" si="61"/>
        <v>9.244270244214145E-2</v>
      </c>
      <c r="N555" t="s">
        <v>1296</v>
      </c>
      <c r="O555" s="7">
        <v>586.21</v>
      </c>
      <c r="P555" s="7">
        <v>727.22</v>
      </c>
      <c r="Q555" s="12">
        <v>6.8000000000000005E-2</v>
      </c>
      <c r="R555">
        <v>15</v>
      </c>
      <c r="S555">
        <f t="shared" si="55"/>
        <v>10166.535600000001</v>
      </c>
      <c r="T555">
        <f t="shared" si="56"/>
        <v>8793.1500000000015</v>
      </c>
      <c r="U555">
        <f t="shared" si="57"/>
        <v>1373.3855999999996</v>
      </c>
      <c r="V555">
        <f t="shared" si="58"/>
        <v>0.13508884973559721</v>
      </c>
    </row>
    <row r="556" spans="1:22" x14ac:dyDescent="0.25">
      <c r="A556" t="s">
        <v>219</v>
      </c>
      <c r="B556" s="14">
        <v>45692</v>
      </c>
      <c r="C556" s="14">
        <v>45713</v>
      </c>
      <c r="D556" s="7">
        <f t="shared" si="59"/>
        <v>21</v>
      </c>
      <c r="E556" s="5" t="str">
        <f t="shared" si="60"/>
        <v>Q1</v>
      </c>
      <c r="F556" t="s">
        <v>649</v>
      </c>
      <c r="G556" t="s">
        <v>658</v>
      </c>
      <c r="H556" t="s">
        <v>674</v>
      </c>
      <c r="I556" t="s">
        <v>701</v>
      </c>
      <c r="J556" t="s">
        <v>711</v>
      </c>
      <c r="K556" t="s">
        <v>726</v>
      </c>
      <c r="L556" t="s">
        <v>732</v>
      </c>
      <c r="M556">
        <f t="shared" si="61"/>
        <v>0.23235651086998726</v>
      </c>
      <c r="N556" t="s">
        <v>938</v>
      </c>
      <c r="O556" s="7">
        <v>1016.32</v>
      </c>
      <c r="P556" s="7">
        <v>2253.42</v>
      </c>
      <c r="Q556" s="12">
        <v>5.5E-2</v>
      </c>
      <c r="R556">
        <v>12</v>
      </c>
      <c r="S556">
        <f t="shared" si="55"/>
        <v>25553.782800000001</v>
      </c>
      <c r="T556">
        <f t="shared" si="56"/>
        <v>12195.84</v>
      </c>
      <c r="U556">
        <f t="shared" si="57"/>
        <v>13357.942800000001</v>
      </c>
      <c r="V556">
        <f t="shared" si="58"/>
        <v>0.52273837124419797</v>
      </c>
    </row>
    <row r="557" spans="1:22" x14ac:dyDescent="0.25">
      <c r="A557" t="s">
        <v>512</v>
      </c>
      <c r="B557" s="14">
        <v>45544</v>
      </c>
      <c r="C557" s="14">
        <v>45548</v>
      </c>
      <c r="D557" s="7">
        <f t="shared" si="59"/>
        <v>4</v>
      </c>
      <c r="E557" s="5" t="str">
        <f t="shared" si="60"/>
        <v>Q3</v>
      </c>
      <c r="F557" t="s">
        <v>649</v>
      </c>
      <c r="G557" t="s">
        <v>658</v>
      </c>
      <c r="H557" t="s">
        <v>683</v>
      </c>
      <c r="I557" t="s">
        <v>704</v>
      </c>
      <c r="J557" t="s">
        <v>708</v>
      </c>
      <c r="K557" t="s">
        <v>721</v>
      </c>
      <c r="L557" t="s">
        <v>729</v>
      </c>
      <c r="M557">
        <f t="shared" si="61"/>
        <v>0.22959074492156611</v>
      </c>
      <c r="N557" t="s">
        <v>1230</v>
      </c>
      <c r="O557" s="7">
        <v>1133.08</v>
      </c>
      <c r="P557" s="7">
        <v>976.17</v>
      </c>
      <c r="Q557" s="12">
        <v>4.2000000000000003E-2</v>
      </c>
      <c r="R557">
        <v>27</v>
      </c>
      <c r="S557">
        <f t="shared" si="55"/>
        <v>25249.613219999999</v>
      </c>
      <c r="T557">
        <f t="shared" si="56"/>
        <v>30593.159999999996</v>
      </c>
      <c r="U557">
        <f t="shared" si="57"/>
        <v>-5343.5467799999969</v>
      </c>
      <c r="V557">
        <f t="shared" si="58"/>
        <v>-0.21162885678452373</v>
      </c>
    </row>
    <row r="558" spans="1:22" x14ac:dyDescent="0.25">
      <c r="A558" t="s">
        <v>270</v>
      </c>
      <c r="B558" s="14">
        <v>45411</v>
      </c>
      <c r="C558" s="14">
        <v>45431</v>
      </c>
      <c r="D558" s="7">
        <f t="shared" si="59"/>
        <v>20</v>
      </c>
      <c r="E558" s="5" t="str">
        <f t="shared" si="60"/>
        <v>Q2</v>
      </c>
      <c r="F558" t="s">
        <v>649</v>
      </c>
      <c r="G558" t="s">
        <v>656</v>
      </c>
      <c r="H558" t="s">
        <v>698</v>
      </c>
      <c r="I558" t="s">
        <v>706</v>
      </c>
      <c r="J558" t="s">
        <v>710</v>
      </c>
      <c r="K558" t="s">
        <v>712</v>
      </c>
      <c r="L558" t="s">
        <v>731</v>
      </c>
      <c r="M558">
        <f t="shared" si="61"/>
        <v>0.21969402634307422</v>
      </c>
      <c r="N558" t="s">
        <v>989</v>
      </c>
      <c r="O558" s="7">
        <v>668.97</v>
      </c>
      <c r="P558" s="7">
        <v>1667.44</v>
      </c>
      <c r="Q558" s="12">
        <v>3.4000000000000002E-2</v>
      </c>
      <c r="R558">
        <v>15</v>
      </c>
      <c r="S558">
        <f t="shared" si="55"/>
        <v>24161.205600000001</v>
      </c>
      <c r="T558">
        <f t="shared" si="56"/>
        <v>10034.550000000001</v>
      </c>
      <c r="U558">
        <f t="shared" si="57"/>
        <v>14126.6556</v>
      </c>
      <c r="V558">
        <f t="shared" si="58"/>
        <v>0.58468339013679016</v>
      </c>
    </row>
    <row r="559" spans="1:22" x14ac:dyDescent="0.25">
      <c r="A559" t="s">
        <v>171</v>
      </c>
      <c r="B559" s="14">
        <v>45323</v>
      </c>
      <c r="C559" s="14">
        <v>45343</v>
      </c>
      <c r="D559" s="7">
        <f t="shared" si="59"/>
        <v>20</v>
      </c>
      <c r="E559" s="5" t="str">
        <f t="shared" si="60"/>
        <v>Q1</v>
      </c>
      <c r="F559" t="s">
        <v>649</v>
      </c>
      <c r="G559" t="s">
        <v>657</v>
      </c>
      <c r="H559" t="s">
        <v>690</v>
      </c>
      <c r="I559" t="s">
        <v>705</v>
      </c>
      <c r="J559" t="s">
        <v>710</v>
      </c>
      <c r="K559" t="s">
        <v>720</v>
      </c>
      <c r="L559" t="s">
        <v>729</v>
      </c>
      <c r="M559">
        <f t="shared" si="61"/>
        <v>6.5503058321401061E-2</v>
      </c>
      <c r="N559" t="s">
        <v>890</v>
      </c>
      <c r="O559" s="7">
        <v>656.2</v>
      </c>
      <c r="P559" s="7">
        <v>1467.17</v>
      </c>
      <c r="Q559" s="12">
        <v>1.7999999999999999E-2</v>
      </c>
      <c r="R559">
        <v>5</v>
      </c>
      <c r="S559">
        <f t="shared" si="55"/>
        <v>7203.8047000000006</v>
      </c>
      <c r="T559">
        <f t="shared" si="56"/>
        <v>3281</v>
      </c>
      <c r="U559">
        <f t="shared" si="57"/>
        <v>3922.8047000000006</v>
      </c>
      <c r="V559">
        <f t="shared" si="58"/>
        <v>0.54454623124360946</v>
      </c>
    </row>
    <row r="560" spans="1:22" x14ac:dyDescent="0.25">
      <c r="A560" t="s">
        <v>126</v>
      </c>
      <c r="B560" s="14">
        <v>45453</v>
      </c>
      <c r="C560" s="14">
        <v>45454</v>
      </c>
      <c r="D560" s="7">
        <f t="shared" si="59"/>
        <v>1</v>
      </c>
      <c r="E560" s="5" t="str">
        <f t="shared" si="60"/>
        <v>Q2</v>
      </c>
      <c r="F560" t="s">
        <v>649</v>
      </c>
      <c r="G560" t="s">
        <v>658</v>
      </c>
      <c r="H560" t="s">
        <v>674</v>
      </c>
      <c r="I560" t="s">
        <v>705</v>
      </c>
      <c r="J560" t="s">
        <v>709</v>
      </c>
      <c r="K560" t="s">
        <v>724</v>
      </c>
      <c r="L560" t="s">
        <v>731</v>
      </c>
      <c r="M560">
        <f t="shared" si="61"/>
        <v>0.2741644213333419</v>
      </c>
      <c r="N560" t="s">
        <v>845</v>
      </c>
      <c r="O560" s="7">
        <v>1187.1300000000001</v>
      </c>
      <c r="P560" s="7">
        <v>1795.17</v>
      </c>
      <c r="Q560" s="12">
        <v>1.2E-2</v>
      </c>
      <c r="R560">
        <v>17</v>
      </c>
      <c r="S560">
        <f t="shared" si="55"/>
        <v>30151.675319999998</v>
      </c>
      <c r="T560">
        <f t="shared" si="56"/>
        <v>20181.210000000003</v>
      </c>
      <c r="U560">
        <f t="shared" si="57"/>
        <v>9970.4653199999957</v>
      </c>
      <c r="V560">
        <f t="shared" si="58"/>
        <v>0.33067699271046663</v>
      </c>
    </row>
    <row r="561" spans="1:22" x14ac:dyDescent="0.25">
      <c r="A561" t="s">
        <v>474</v>
      </c>
      <c r="B561" s="14">
        <v>45417</v>
      </c>
      <c r="C561" s="14">
        <v>45430</v>
      </c>
      <c r="D561" s="7">
        <f t="shared" si="59"/>
        <v>13</v>
      </c>
      <c r="E561" s="5" t="str">
        <f t="shared" si="60"/>
        <v>Q2</v>
      </c>
      <c r="F561" t="s">
        <v>649</v>
      </c>
      <c r="G561" t="s">
        <v>657</v>
      </c>
      <c r="H561" t="s">
        <v>673</v>
      </c>
      <c r="I561" t="s">
        <v>701</v>
      </c>
      <c r="J561" t="s">
        <v>709</v>
      </c>
      <c r="K561" t="s">
        <v>720</v>
      </c>
      <c r="L561" t="s">
        <v>727</v>
      </c>
      <c r="M561">
        <f t="shared" si="61"/>
        <v>0.22115219450327939</v>
      </c>
      <c r="N561" t="s">
        <v>1192</v>
      </c>
      <c r="O561" s="7">
        <v>1264.04</v>
      </c>
      <c r="P561" s="7">
        <v>1870.89</v>
      </c>
      <c r="Q561" s="12">
        <v>0</v>
      </c>
      <c r="R561">
        <v>13</v>
      </c>
      <c r="S561">
        <f t="shared" si="55"/>
        <v>24321.57</v>
      </c>
      <c r="T561">
        <f t="shared" si="56"/>
        <v>16432.52</v>
      </c>
      <c r="U561">
        <f t="shared" si="57"/>
        <v>7889.0499999999993</v>
      </c>
      <c r="V561">
        <f t="shared" si="58"/>
        <v>0.32436433996653996</v>
      </c>
    </row>
    <row r="562" spans="1:22" x14ac:dyDescent="0.25">
      <c r="A562" t="s">
        <v>41</v>
      </c>
      <c r="B562" s="14">
        <v>45626</v>
      </c>
      <c r="C562" s="14">
        <v>45656</v>
      </c>
      <c r="D562" s="7">
        <f t="shared" si="59"/>
        <v>30</v>
      </c>
      <c r="E562" s="5" t="str">
        <f t="shared" si="60"/>
        <v>Q4</v>
      </c>
      <c r="F562" t="s">
        <v>649</v>
      </c>
      <c r="G562" t="s">
        <v>657</v>
      </c>
      <c r="H562" t="s">
        <v>673</v>
      </c>
      <c r="I562" t="s">
        <v>704</v>
      </c>
      <c r="J562" t="s">
        <v>707</v>
      </c>
      <c r="K562" t="s">
        <v>721</v>
      </c>
      <c r="L562" t="s">
        <v>728</v>
      </c>
      <c r="M562">
        <f t="shared" si="61"/>
        <v>1.5973395635393229E-2</v>
      </c>
      <c r="N562" t="s">
        <v>760</v>
      </c>
      <c r="O562" s="7">
        <v>117.64</v>
      </c>
      <c r="P562" s="7">
        <v>175.67</v>
      </c>
      <c r="Q562" s="12">
        <v>0</v>
      </c>
      <c r="R562">
        <v>10</v>
      </c>
      <c r="S562">
        <f t="shared" si="55"/>
        <v>1756.6999999999998</v>
      </c>
      <c r="T562">
        <f t="shared" si="56"/>
        <v>1176.4000000000001</v>
      </c>
      <c r="U562">
        <f t="shared" si="57"/>
        <v>580.29999999999973</v>
      </c>
      <c r="V562">
        <f t="shared" si="58"/>
        <v>0.33033528775545046</v>
      </c>
    </row>
    <row r="563" spans="1:22" x14ac:dyDescent="0.25">
      <c r="A563" t="s">
        <v>605</v>
      </c>
      <c r="B563" s="14">
        <v>45019</v>
      </c>
      <c r="C563" s="14">
        <v>45032</v>
      </c>
      <c r="D563" s="7">
        <f t="shared" si="59"/>
        <v>13</v>
      </c>
      <c r="E563" s="5" t="str">
        <f t="shared" si="60"/>
        <v>Q2</v>
      </c>
      <c r="F563" t="s">
        <v>649</v>
      </c>
      <c r="G563" t="s">
        <v>657</v>
      </c>
      <c r="H563" t="s">
        <v>673</v>
      </c>
      <c r="I563" t="s">
        <v>703</v>
      </c>
      <c r="J563" t="s">
        <v>710</v>
      </c>
      <c r="K563" t="s">
        <v>724</v>
      </c>
      <c r="L563" t="s">
        <v>733</v>
      </c>
      <c r="M563">
        <f t="shared" si="61"/>
        <v>8.2038803501445962E-2</v>
      </c>
      <c r="N563" t="s">
        <v>1322</v>
      </c>
      <c r="O563" s="7">
        <v>790.54</v>
      </c>
      <c r="P563" s="7">
        <v>601.49</v>
      </c>
      <c r="Q563" s="12">
        <v>0</v>
      </c>
      <c r="R563">
        <v>15</v>
      </c>
      <c r="S563">
        <f t="shared" si="55"/>
        <v>9022.35</v>
      </c>
      <c r="T563">
        <f t="shared" si="56"/>
        <v>11858.099999999999</v>
      </c>
      <c r="U563">
        <f t="shared" si="57"/>
        <v>-2835.7499999999982</v>
      </c>
      <c r="V563">
        <f t="shared" si="58"/>
        <v>-0.31430281467688553</v>
      </c>
    </row>
    <row r="564" spans="1:22" x14ac:dyDescent="0.25">
      <c r="A564" t="s">
        <v>434</v>
      </c>
      <c r="B564" s="14">
        <v>45307</v>
      </c>
      <c r="C564" s="14">
        <v>45333</v>
      </c>
      <c r="D564" s="7">
        <f t="shared" si="59"/>
        <v>26</v>
      </c>
      <c r="E564" s="5" t="str">
        <f t="shared" si="60"/>
        <v>Q1</v>
      </c>
      <c r="F564" t="s">
        <v>649</v>
      </c>
      <c r="G564" t="s">
        <v>656</v>
      </c>
      <c r="H564" t="s">
        <v>698</v>
      </c>
      <c r="I564" t="s">
        <v>703</v>
      </c>
      <c r="J564" t="s">
        <v>709</v>
      </c>
      <c r="K564" t="s">
        <v>718</v>
      </c>
      <c r="L564" t="s">
        <v>732</v>
      </c>
      <c r="M564">
        <f t="shared" si="61"/>
        <v>8.6466441095316968E-2</v>
      </c>
      <c r="N564" t="s">
        <v>1152</v>
      </c>
      <c r="O564" s="7">
        <v>504.93</v>
      </c>
      <c r="P564" s="7">
        <v>819.06</v>
      </c>
      <c r="Q564" s="12">
        <v>0.22600000000000001</v>
      </c>
      <c r="R564">
        <v>15</v>
      </c>
      <c r="S564">
        <f t="shared" si="55"/>
        <v>9509.2865999999995</v>
      </c>
      <c r="T564">
        <f t="shared" si="56"/>
        <v>7573.95</v>
      </c>
      <c r="U564">
        <f t="shared" si="57"/>
        <v>1935.3365999999996</v>
      </c>
      <c r="V564">
        <f t="shared" si="58"/>
        <v>0.20352069312959814</v>
      </c>
    </row>
    <row r="565" spans="1:22" x14ac:dyDescent="0.25">
      <c r="A565" t="s">
        <v>501</v>
      </c>
      <c r="B565" s="14">
        <v>45224</v>
      </c>
      <c r="C565" s="14">
        <v>45254</v>
      </c>
      <c r="D565" s="7">
        <f t="shared" si="59"/>
        <v>30</v>
      </c>
      <c r="E565" s="5" t="str">
        <f t="shared" si="60"/>
        <v>Q4</v>
      </c>
      <c r="F565" t="s">
        <v>649</v>
      </c>
      <c r="G565" t="s">
        <v>657</v>
      </c>
      <c r="H565" t="s">
        <v>690</v>
      </c>
      <c r="I565" t="s">
        <v>706</v>
      </c>
      <c r="J565" t="s">
        <v>709</v>
      </c>
      <c r="K565" t="s">
        <v>712</v>
      </c>
      <c r="L565" t="s">
        <v>730</v>
      </c>
      <c r="M565">
        <f t="shared" si="61"/>
        <v>4.6917149679838573E-2</v>
      </c>
      <c r="N565" t="s">
        <v>1219</v>
      </c>
      <c r="O565" s="7">
        <v>287.85000000000002</v>
      </c>
      <c r="P565" s="7">
        <v>602.91999999999996</v>
      </c>
      <c r="Q565" s="12">
        <v>0.222</v>
      </c>
      <c r="R565">
        <v>11</v>
      </c>
      <c r="S565">
        <f t="shared" si="55"/>
        <v>5159.7893599999998</v>
      </c>
      <c r="T565">
        <f t="shared" si="56"/>
        <v>3166.3500000000004</v>
      </c>
      <c r="U565">
        <f t="shared" si="57"/>
        <v>1993.4393599999994</v>
      </c>
      <c r="V565">
        <f t="shared" si="58"/>
        <v>0.38634122847216373</v>
      </c>
    </row>
    <row r="566" spans="1:22" x14ac:dyDescent="0.25">
      <c r="A566" t="s">
        <v>68</v>
      </c>
      <c r="B566" s="14">
        <v>45678</v>
      </c>
      <c r="C566" s="14">
        <v>45704</v>
      </c>
      <c r="D566" s="7">
        <f t="shared" si="59"/>
        <v>26</v>
      </c>
      <c r="E566" s="5" t="str">
        <f t="shared" si="60"/>
        <v>Q1</v>
      </c>
      <c r="F566" t="s">
        <v>649</v>
      </c>
      <c r="G566" t="s">
        <v>657</v>
      </c>
      <c r="H566" t="s">
        <v>679</v>
      </c>
      <c r="I566" t="s">
        <v>701</v>
      </c>
      <c r="J566" t="s">
        <v>709</v>
      </c>
      <c r="K566" t="s">
        <v>719</v>
      </c>
      <c r="L566" t="s">
        <v>731</v>
      </c>
      <c r="M566">
        <f t="shared" si="61"/>
        <v>2.2903737801372229E-2</v>
      </c>
      <c r="N566" t="s">
        <v>787</v>
      </c>
      <c r="O566" s="7">
        <v>204.11</v>
      </c>
      <c r="P566" s="7">
        <v>236.87</v>
      </c>
      <c r="Q566" s="12">
        <v>0.182</v>
      </c>
      <c r="R566">
        <v>13</v>
      </c>
      <c r="S566">
        <f t="shared" si="55"/>
        <v>2518.8755800000004</v>
      </c>
      <c r="T566">
        <f t="shared" si="56"/>
        <v>2653.4300000000003</v>
      </c>
      <c r="U566">
        <f t="shared" si="57"/>
        <v>-134.55441999999994</v>
      </c>
      <c r="V566">
        <f t="shared" si="58"/>
        <v>-5.3418446337075494E-2</v>
      </c>
    </row>
    <row r="567" spans="1:22" x14ac:dyDescent="0.25">
      <c r="A567" t="s">
        <v>516</v>
      </c>
      <c r="B567" s="14">
        <v>45408</v>
      </c>
      <c r="C567" s="15">
        <v>45406</v>
      </c>
      <c r="D567" s="7">
        <f t="shared" si="59"/>
        <v>-2</v>
      </c>
      <c r="E567" s="5" t="str">
        <f t="shared" si="60"/>
        <v>Q2</v>
      </c>
      <c r="F567" t="s">
        <v>649</v>
      </c>
      <c r="G567" t="s">
        <v>658</v>
      </c>
      <c r="H567" t="s">
        <v>683</v>
      </c>
      <c r="I567" t="s">
        <v>703</v>
      </c>
      <c r="J567" t="s">
        <v>711</v>
      </c>
      <c r="K567" t="s">
        <v>725</v>
      </c>
      <c r="L567" t="s">
        <v>730</v>
      </c>
      <c r="M567">
        <f t="shared" si="61"/>
        <v>6.7542639169623067E-2</v>
      </c>
      <c r="N567" t="s">
        <v>1234</v>
      </c>
      <c r="O567" s="7">
        <v>1232.77</v>
      </c>
      <c r="P567" s="7">
        <v>891.73</v>
      </c>
      <c r="Q567" s="12">
        <v>0.16700000000000001</v>
      </c>
      <c r="R567">
        <v>10</v>
      </c>
      <c r="S567">
        <f t="shared" si="55"/>
        <v>7428.1108999999988</v>
      </c>
      <c r="T567">
        <f t="shared" si="56"/>
        <v>12327.7</v>
      </c>
      <c r="U567">
        <f t="shared" si="57"/>
        <v>-4899.589100000002</v>
      </c>
      <c r="V567">
        <f t="shared" si="58"/>
        <v>-0.65960096260813805</v>
      </c>
    </row>
    <row r="568" spans="1:22" x14ac:dyDescent="0.25">
      <c r="A568" t="s">
        <v>370</v>
      </c>
      <c r="B568" s="14">
        <v>45292</v>
      </c>
      <c r="C568" s="14">
        <v>45318</v>
      </c>
      <c r="D568" s="7">
        <f t="shared" si="59"/>
        <v>26</v>
      </c>
      <c r="E568" s="5" t="str">
        <f t="shared" si="60"/>
        <v>Q1</v>
      </c>
      <c r="F568" t="s">
        <v>649</v>
      </c>
      <c r="G568" t="s">
        <v>658</v>
      </c>
      <c r="H568" t="s">
        <v>693</v>
      </c>
      <c r="I568" t="s">
        <v>702</v>
      </c>
      <c r="J568" t="s">
        <v>709</v>
      </c>
      <c r="K568" t="s">
        <v>726</v>
      </c>
      <c r="L568" t="s">
        <v>733</v>
      </c>
      <c r="M568">
        <f t="shared" si="61"/>
        <v>0.21090863764821438</v>
      </c>
      <c r="N568" t="s">
        <v>1089</v>
      </c>
      <c r="O568" s="7">
        <v>657.45</v>
      </c>
      <c r="P568" s="7">
        <v>1325.96</v>
      </c>
      <c r="Q568" s="12">
        <v>0.16700000000000001</v>
      </c>
      <c r="R568">
        <v>21</v>
      </c>
      <c r="S568">
        <f t="shared" si="55"/>
        <v>23195.01828</v>
      </c>
      <c r="T568">
        <f t="shared" si="56"/>
        <v>13806.45</v>
      </c>
      <c r="U568">
        <f t="shared" si="57"/>
        <v>9388.5682799999995</v>
      </c>
      <c r="V568">
        <f t="shared" si="58"/>
        <v>0.40476658249048808</v>
      </c>
    </row>
    <row r="569" spans="1:22" x14ac:dyDescent="0.25">
      <c r="A569" t="s">
        <v>527</v>
      </c>
      <c r="B569" s="14">
        <v>45575</v>
      </c>
      <c r="C569" s="14">
        <v>45576</v>
      </c>
      <c r="D569" s="7">
        <f t="shared" si="59"/>
        <v>1</v>
      </c>
      <c r="E569" s="5" t="str">
        <f t="shared" si="60"/>
        <v>Q4</v>
      </c>
      <c r="F569" t="s">
        <v>649</v>
      </c>
      <c r="G569" t="s">
        <v>658</v>
      </c>
      <c r="H569" t="s">
        <v>693</v>
      </c>
      <c r="I569" t="s">
        <v>703</v>
      </c>
      <c r="J569" t="s">
        <v>709</v>
      </c>
      <c r="K569" t="s">
        <v>716</v>
      </c>
      <c r="L569" t="s">
        <v>727</v>
      </c>
      <c r="M569">
        <f t="shared" si="61"/>
        <v>0.45733736108970502</v>
      </c>
      <c r="N569" t="s">
        <v>1245</v>
      </c>
      <c r="O569" s="7">
        <v>1389.46</v>
      </c>
      <c r="P569" s="7">
        <v>1784.7</v>
      </c>
      <c r="Q569" s="12">
        <v>0.14599999999999999</v>
      </c>
      <c r="R569">
        <v>33</v>
      </c>
      <c r="S569">
        <f t="shared" si="55"/>
        <v>50296.415399999998</v>
      </c>
      <c r="T569">
        <f t="shared" si="56"/>
        <v>45852.18</v>
      </c>
      <c r="U569">
        <f t="shared" si="57"/>
        <v>4444.2353999999978</v>
      </c>
      <c r="V569">
        <f t="shared" si="58"/>
        <v>8.8360877503011831E-2</v>
      </c>
    </row>
    <row r="570" spans="1:22" x14ac:dyDescent="0.25">
      <c r="A570" t="s">
        <v>184</v>
      </c>
      <c r="B570" s="14">
        <v>45574</v>
      </c>
      <c r="C570" s="14">
        <v>45604</v>
      </c>
      <c r="D570" s="7">
        <f t="shared" si="59"/>
        <v>30</v>
      </c>
      <c r="E570" s="5" t="str">
        <f t="shared" si="60"/>
        <v>Q4</v>
      </c>
      <c r="F570" t="s">
        <v>649</v>
      </c>
      <c r="G570" t="s">
        <v>658</v>
      </c>
      <c r="H570" t="s">
        <v>693</v>
      </c>
      <c r="I570" t="s">
        <v>705</v>
      </c>
      <c r="J570" t="s">
        <v>707</v>
      </c>
      <c r="K570" t="s">
        <v>713</v>
      </c>
      <c r="L570" t="s">
        <v>727</v>
      </c>
      <c r="M570">
        <f t="shared" si="61"/>
        <v>2.1061406339105321E-2</v>
      </c>
      <c r="N570" t="s">
        <v>903</v>
      </c>
      <c r="O570" s="7">
        <v>343.85</v>
      </c>
      <c r="P570" s="7">
        <v>538.04</v>
      </c>
      <c r="Q570" s="12">
        <v>0.13900000000000001</v>
      </c>
      <c r="R570">
        <v>5</v>
      </c>
      <c r="S570">
        <f t="shared" si="55"/>
        <v>2316.2621999999997</v>
      </c>
      <c r="T570">
        <f t="shared" si="56"/>
        <v>1719.25</v>
      </c>
      <c r="U570">
        <f t="shared" si="57"/>
        <v>597.01219999999967</v>
      </c>
      <c r="V570">
        <f t="shared" si="58"/>
        <v>0.25774810813732563</v>
      </c>
    </row>
    <row r="571" spans="1:22" x14ac:dyDescent="0.25">
      <c r="A571" t="s">
        <v>559</v>
      </c>
      <c r="B571" s="14">
        <v>45108</v>
      </c>
      <c r="C571" s="14">
        <v>45115</v>
      </c>
      <c r="D571" s="7">
        <f t="shared" si="59"/>
        <v>7</v>
      </c>
      <c r="E571" s="5" t="str">
        <f t="shared" si="60"/>
        <v>Q3</v>
      </c>
      <c r="F571" t="s">
        <v>649</v>
      </c>
      <c r="G571" t="s">
        <v>656</v>
      </c>
      <c r="H571" t="s">
        <v>698</v>
      </c>
      <c r="I571" t="s">
        <v>705</v>
      </c>
      <c r="J571" t="s">
        <v>710</v>
      </c>
      <c r="K571" t="s">
        <v>725</v>
      </c>
      <c r="L571" t="s">
        <v>731</v>
      </c>
      <c r="M571">
        <f t="shared" si="61"/>
        <v>0.12833699560285824</v>
      </c>
      <c r="N571" t="s">
        <v>1276</v>
      </c>
      <c r="O571" s="7">
        <v>460.21</v>
      </c>
      <c r="P571" s="7">
        <v>1139.1500000000001</v>
      </c>
      <c r="Q571" s="12">
        <v>0.115</v>
      </c>
      <c r="R571">
        <v>14</v>
      </c>
      <c r="S571">
        <f t="shared" si="55"/>
        <v>14114.068500000001</v>
      </c>
      <c r="T571">
        <f t="shared" si="56"/>
        <v>6442.94</v>
      </c>
      <c r="U571">
        <f t="shared" si="57"/>
        <v>7671.1285000000016</v>
      </c>
      <c r="V571">
        <f t="shared" si="58"/>
        <v>0.54350937151821255</v>
      </c>
    </row>
    <row r="572" spans="1:22" x14ac:dyDescent="0.25">
      <c r="A572" t="s">
        <v>310</v>
      </c>
      <c r="B572" s="14">
        <v>45809</v>
      </c>
      <c r="C572" s="14">
        <v>45835</v>
      </c>
      <c r="D572" s="7">
        <f t="shared" si="59"/>
        <v>26</v>
      </c>
      <c r="E572" s="5" t="str">
        <f t="shared" si="60"/>
        <v>Q2</v>
      </c>
      <c r="F572" t="s">
        <v>649</v>
      </c>
      <c r="G572" t="s">
        <v>656</v>
      </c>
      <c r="H572" t="s">
        <v>684</v>
      </c>
      <c r="I572" t="s">
        <v>704</v>
      </c>
      <c r="J572" t="s">
        <v>711</v>
      </c>
      <c r="K572" t="s">
        <v>718</v>
      </c>
      <c r="L572" t="s">
        <v>731</v>
      </c>
      <c r="M572">
        <f t="shared" si="61"/>
        <v>0.18600304183594854</v>
      </c>
      <c r="N572" t="s">
        <v>1029</v>
      </c>
      <c r="O572" s="7">
        <v>1362.31</v>
      </c>
      <c r="P572" s="7">
        <v>3294.57</v>
      </c>
      <c r="Q572" s="12">
        <v>0.113</v>
      </c>
      <c r="R572">
        <v>7</v>
      </c>
      <c r="S572">
        <f t="shared" si="55"/>
        <v>20455.985130000001</v>
      </c>
      <c r="T572">
        <f t="shared" si="56"/>
        <v>9536.17</v>
      </c>
      <c r="U572">
        <f t="shared" si="57"/>
        <v>10919.815130000001</v>
      </c>
      <c r="V572">
        <f t="shared" si="58"/>
        <v>0.5338200561157721</v>
      </c>
    </row>
    <row r="573" spans="1:22" x14ac:dyDescent="0.25">
      <c r="A573" t="s">
        <v>330</v>
      </c>
      <c r="B573" s="14">
        <v>45809</v>
      </c>
      <c r="C573" s="14">
        <v>45814</v>
      </c>
      <c r="D573" s="7">
        <f t="shared" si="59"/>
        <v>5</v>
      </c>
      <c r="E573" s="5" t="str">
        <f t="shared" si="60"/>
        <v>Q2</v>
      </c>
      <c r="F573" t="s">
        <v>649</v>
      </c>
      <c r="G573" t="s">
        <v>657</v>
      </c>
      <c r="H573" t="s">
        <v>690</v>
      </c>
      <c r="I573" t="s">
        <v>704</v>
      </c>
      <c r="J573" t="s">
        <v>707</v>
      </c>
      <c r="K573" t="s">
        <v>715</v>
      </c>
      <c r="L573" t="s">
        <v>727</v>
      </c>
      <c r="M573">
        <f t="shared" si="61"/>
        <v>7.9840435261727766E-2</v>
      </c>
      <c r="N573" t="s">
        <v>1049</v>
      </c>
      <c r="O573" s="7">
        <v>379.45</v>
      </c>
      <c r="P573" s="7">
        <v>742.23</v>
      </c>
      <c r="Q573" s="12">
        <v>0.09</v>
      </c>
      <c r="R573">
        <v>13</v>
      </c>
      <c r="S573">
        <f t="shared" si="55"/>
        <v>8780.5809000000008</v>
      </c>
      <c r="T573">
        <f t="shared" si="56"/>
        <v>4932.8499999999995</v>
      </c>
      <c r="U573">
        <f t="shared" si="57"/>
        <v>3847.7309000000014</v>
      </c>
      <c r="V573">
        <f t="shared" si="58"/>
        <v>0.43820915083192286</v>
      </c>
    </row>
    <row r="574" spans="1:22" x14ac:dyDescent="0.25">
      <c r="A574" t="s">
        <v>466</v>
      </c>
      <c r="B574" s="14">
        <v>44945</v>
      </c>
      <c r="C574" s="14">
        <v>44960</v>
      </c>
      <c r="D574" s="7">
        <f t="shared" si="59"/>
        <v>15</v>
      </c>
      <c r="E574" s="5" t="str">
        <f t="shared" si="60"/>
        <v>Q1</v>
      </c>
      <c r="F574" t="s">
        <v>649</v>
      </c>
      <c r="G574" t="s">
        <v>658</v>
      </c>
      <c r="H574" t="s">
        <v>683</v>
      </c>
      <c r="I574" t="s">
        <v>706</v>
      </c>
      <c r="J574" t="s">
        <v>711</v>
      </c>
      <c r="K574" t="s">
        <v>715</v>
      </c>
      <c r="L574" t="s">
        <v>733</v>
      </c>
      <c r="M574">
        <f t="shared" si="61"/>
        <v>0.17847864111186679</v>
      </c>
      <c r="N574" t="s">
        <v>1184</v>
      </c>
      <c r="O574" s="7">
        <v>873.06</v>
      </c>
      <c r="P574" s="7">
        <v>2101.5500000000002</v>
      </c>
      <c r="Q574" s="12">
        <v>6.6000000000000003E-2</v>
      </c>
      <c r="R574">
        <v>10</v>
      </c>
      <c r="S574">
        <f t="shared" si="55"/>
        <v>19628.476999999999</v>
      </c>
      <c r="T574">
        <f t="shared" si="56"/>
        <v>8730.5999999999985</v>
      </c>
      <c r="U574">
        <f t="shared" si="57"/>
        <v>10897.877</v>
      </c>
      <c r="V574">
        <f t="shared" si="58"/>
        <v>0.55520746719167269</v>
      </c>
    </row>
    <row r="575" spans="1:22" x14ac:dyDescent="0.25">
      <c r="A575" t="s">
        <v>644</v>
      </c>
      <c r="B575" s="14">
        <v>45267</v>
      </c>
      <c r="C575" s="14">
        <v>45293</v>
      </c>
      <c r="D575" s="7">
        <f t="shared" si="59"/>
        <v>26</v>
      </c>
      <c r="E575" s="5" t="str">
        <f t="shared" si="60"/>
        <v>Q4</v>
      </c>
      <c r="F575" t="s">
        <v>649</v>
      </c>
      <c r="G575" t="s">
        <v>656</v>
      </c>
      <c r="H575" t="s">
        <v>698</v>
      </c>
      <c r="I575" t="s">
        <v>706</v>
      </c>
      <c r="J575" t="s">
        <v>709</v>
      </c>
      <c r="K575" t="s">
        <v>718</v>
      </c>
      <c r="L575" t="s">
        <v>727</v>
      </c>
      <c r="M575">
        <f t="shared" si="61"/>
        <v>0.36804199498320644</v>
      </c>
      <c r="N575" t="s">
        <v>1361</v>
      </c>
      <c r="O575" s="7">
        <v>1071.99</v>
      </c>
      <c r="P575" s="7">
        <v>2397.3000000000002</v>
      </c>
      <c r="Q575" s="12">
        <v>6.2E-2</v>
      </c>
      <c r="R575">
        <v>18</v>
      </c>
      <c r="S575">
        <f t="shared" si="55"/>
        <v>40476.013200000001</v>
      </c>
      <c r="T575">
        <f t="shared" si="56"/>
        <v>19295.82</v>
      </c>
      <c r="U575">
        <f t="shared" si="57"/>
        <v>21180.193200000002</v>
      </c>
      <c r="V575">
        <f t="shared" si="58"/>
        <v>0.52327765324476183</v>
      </c>
    </row>
    <row r="576" spans="1:22" x14ac:dyDescent="0.25">
      <c r="A576" t="s">
        <v>308</v>
      </c>
      <c r="B576" s="14">
        <v>45161</v>
      </c>
      <c r="C576" s="14">
        <v>45191</v>
      </c>
      <c r="D576" s="7">
        <f t="shared" si="59"/>
        <v>30</v>
      </c>
      <c r="E576" s="5" t="str">
        <f t="shared" si="60"/>
        <v>Q3</v>
      </c>
      <c r="F576" t="s">
        <v>649</v>
      </c>
      <c r="G576" t="s">
        <v>658</v>
      </c>
      <c r="H576" t="s">
        <v>683</v>
      </c>
      <c r="I576" t="s">
        <v>704</v>
      </c>
      <c r="J576" t="s">
        <v>710</v>
      </c>
      <c r="K576" t="s">
        <v>719</v>
      </c>
      <c r="L576" t="s">
        <v>733</v>
      </c>
      <c r="M576">
        <f t="shared" si="61"/>
        <v>6.7124678501075855E-2</v>
      </c>
      <c r="N576" t="s">
        <v>1027</v>
      </c>
      <c r="O576" s="7">
        <v>209.81</v>
      </c>
      <c r="P576" s="7">
        <v>523</v>
      </c>
      <c r="Q576" s="12">
        <v>5.8999999999999997E-2</v>
      </c>
      <c r="R576">
        <v>15</v>
      </c>
      <c r="S576">
        <f t="shared" si="55"/>
        <v>7382.1450000000004</v>
      </c>
      <c r="T576">
        <f t="shared" si="56"/>
        <v>3147.15</v>
      </c>
      <c r="U576">
        <f t="shared" si="57"/>
        <v>4234.9950000000008</v>
      </c>
      <c r="V576">
        <f t="shared" si="58"/>
        <v>0.57368082041195356</v>
      </c>
    </row>
    <row r="577" spans="1:22" x14ac:dyDescent="0.25">
      <c r="A577" t="s">
        <v>447</v>
      </c>
      <c r="B577" s="14">
        <v>45220</v>
      </c>
      <c r="C577" s="14">
        <v>45220</v>
      </c>
      <c r="D577" s="7">
        <f t="shared" si="59"/>
        <v>0</v>
      </c>
      <c r="E577" s="5" t="str">
        <f t="shared" si="60"/>
        <v>Q4</v>
      </c>
      <c r="F577" t="s">
        <v>649</v>
      </c>
      <c r="G577" t="s">
        <v>658</v>
      </c>
      <c r="H577" t="s">
        <v>693</v>
      </c>
      <c r="I577" t="s">
        <v>706</v>
      </c>
      <c r="J577" t="s">
        <v>709</v>
      </c>
      <c r="K577" t="s">
        <v>713</v>
      </c>
      <c r="L577" t="s">
        <v>732</v>
      </c>
      <c r="M577">
        <f t="shared" si="61"/>
        <v>2.3892570008000512E-2</v>
      </c>
      <c r="N577" t="s">
        <v>1165</v>
      </c>
      <c r="O577" s="7">
        <v>384.19</v>
      </c>
      <c r="P577" s="7">
        <v>278.35000000000002</v>
      </c>
      <c r="Q577" s="12">
        <v>5.6000000000000001E-2</v>
      </c>
      <c r="R577">
        <v>10</v>
      </c>
      <c r="S577">
        <f t="shared" si="55"/>
        <v>2627.6239999999998</v>
      </c>
      <c r="T577">
        <f t="shared" si="56"/>
        <v>3841.9</v>
      </c>
      <c r="U577">
        <f t="shared" si="57"/>
        <v>-1214.2760000000003</v>
      </c>
      <c r="V577">
        <f t="shared" si="58"/>
        <v>-0.46211938998882657</v>
      </c>
    </row>
    <row r="578" spans="1:22" x14ac:dyDescent="0.25">
      <c r="A578" t="s">
        <v>498</v>
      </c>
      <c r="B578" s="14">
        <v>45775</v>
      </c>
      <c r="C578" s="14">
        <v>45796</v>
      </c>
      <c r="D578" s="7">
        <f t="shared" si="59"/>
        <v>21</v>
      </c>
      <c r="E578" s="5" t="str">
        <f t="shared" si="60"/>
        <v>Q2</v>
      </c>
      <c r="F578" t="s">
        <v>649</v>
      </c>
      <c r="G578" t="s">
        <v>656</v>
      </c>
      <c r="H578" t="s">
        <v>671</v>
      </c>
      <c r="I578" t="s">
        <v>701</v>
      </c>
      <c r="J578" t="s">
        <v>711</v>
      </c>
      <c r="K578" t="s">
        <v>717</v>
      </c>
      <c r="L578" t="s">
        <v>730</v>
      </c>
      <c r="M578">
        <f t="shared" si="61"/>
        <v>4.6619356374733655E-2</v>
      </c>
      <c r="N578" t="s">
        <v>1216</v>
      </c>
      <c r="O578" s="7">
        <v>350.76</v>
      </c>
      <c r="P578" s="7">
        <v>492.18</v>
      </c>
      <c r="Q578" s="12">
        <v>5.2999999999999999E-2</v>
      </c>
      <c r="R578">
        <v>11</v>
      </c>
      <c r="S578">
        <f t="shared" ref="S578:S641" si="62">P578*R578*(1-Q578)</f>
        <v>5127.0390600000001</v>
      </c>
      <c r="T578">
        <f t="shared" ref="T578:T633" si="63">O578*R578</f>
        <v>3858.3599999999997</v>
      </c>
      <c r="U578">
        <f t="shared" ref="U578:U641" si="64">S578-T578</f>
        <v>1268.6790600000004</v>
      </c>
      <c r="V578">
        <f t="shared" ref="V578:V641" si="65">IF(S578=0,0,U578/S578)</f>
        <v>0.24744868239798437</v>
      </c>
    </row>
    <row r="579" spans="1:22" x14ac:dyDescent="0.25">
      <c r="A579" t="s">
        <v>634</v>
      </c>
      <c r="B579" s="14">
        <v>45578</v>
      </c>
      <c r="C579" s="14">
        <v>45589</v>
      </c>
      <c r="D579" s="7">
        <f t="shared" ref="D579:D633" si="66">C579-B579</f>
        <v>11</v>
      </c>
      <c r="E579" s="5" t="str">
        <f t="shared" ref="E579:E633" si="67">IF(AND(MONTH(B579)&gt;=1,MONTH(B579)&lt;=3),"Q1", IF(AND(MONTH(B579)&gt;=4,MONTH(B579)&lt;=6), "Q2", IF(AND(MONTH(B579)&gt;=7,MONTH(B579)&lt;=9),"Q3", IF(AND(MONTH(B579)&gt;=10,MONTH(B579)&lt;=12),"Q4"))))</f>
        <v>Q4</v>
      </c>
      <c r="F579" t="s">
        <v>649</v>
      </c>
      <c r="G579" t="s">
        <v>657</v>
      </c>
      <c r="H579" t="s">
        <v>690</v>
      </c>
      <c r="I579" t="s">
        <v>702</v>
      </c>
      <c r="J579" t="s">
        <v>709</v>
      </c>
      <c r="K579" t="s">
        <v>721</v>
      </c>
      <c r="L579" t="s">
        <v>727</v>
      </c>
      <c r="M579">
        <f t="shared" ref="M579:M636" si="68">(S579/$S$634)*100</f>
        <v>0.3766211919365936</v>
      </c>
      <c r="N579" t="s">
        <v>1351</v>
      </c>
      <c r="O579" s="7">
        <v>816.7</v>
      </c>
      <c r="P579" s="7">
        <v>1010.75</v>
      </c>
      <c r="Q579" s="12">
        <v>4.7E-2</v>
      </c>
      <c r="R579">
        <v>43</v>
      </c>
      <c r="S579">
        <f t="shared" si="62"/>
        <v>41419.524249999995</v>
      </c>
      <c r="T579">
        <f t="shared" si="63"/>
        <v>35118.1</v>
      </c>
      <c r="U579">
        <f t="shared" si="64"/>
        <v>6301.4242499999964</v>
      </c>
      <c r="V579">
        <f t="shared" si="65"/>
        <v>0.15213656757537472</v>
      </c>
    </row>
    <row r="580" spans="1:22" x14ac:dyDescent="0.25">
      <c r="A580" t="s">
        <v>320</v>
      </c>
      <c r="B580" s="14">
        <v>45756</v>
      </c>
      <c r="C580" s="14">
        <v>45759</v>
      </c>
      <c r="D580" s="7">
        <f t="shared" si="66"/>
        <v>3</v>
      </c>
      <c r="E580" s="5" t="str">
        <f t="shared" si="67"/>
        <v>Q2</v>
      </c>
      <c r="F580" t="s">
        <v>649</v>
      </c>
      <c r="G580" t="s">
        <v>657</v>
      </c>
      <c r="H580" t="s">
        <v>679</v>
      </c>
      <c r="I580" t="s">
        <v>705</v>
      </c>
      <c r="K580" t="s">
        <v>722</v>
      </c>
      <c r="L580" t="s">
        <v>732</v>
      </c>
      <c r="M580">
        <f t="shared" si="68"/>
        <v>1.4927816274506903E-2</v>
      </c>
      <c r="N580" t="s">
        <v>1039</v>
      </c>
      <c r="O580" s="7">
        <v>86.68</v>
      </c>
      <c r="P580" s="7">
        <v>213.32</v>
      </c>
      <c r="Q580" s="12">
        <v>3.7999999999999999E-2</v>
      </c>
      <c r="R580">
        <v>8</v>
      </c>
      <c r="S580">
        <f t="shared" si="62"/>
        <v>1641.7107199999998</v>
      </c>
      <c r="T580">
        <f t="shared" si="63"/>
        <v>693.44</v>
      </c>
      <c r="U580">
        <f t="shared" si="64"/>
        <v>948.27071999999976</v>
      </c>
      <c r="V580">
        <f t="shared" si="65"/>
        <v>0.57761133459614611</v>
      </c>
    </row>
    <row r="581" spans="1:22" x14ac:dyDescent="0.25">
      <c r="A581" t="s">
        <v>110</v>
      </c>
      <c r="B581" s="14">
        <v>45022</v>
      </c>
      <c r="C581" s="14">
        <v>45043</v>
      </c>
      <c r="D581" s="7">
        <f t="shared" si="66"/>
        <v>21</v>
      </c>
      <c r="E581" s="5" t="str">
        <f t="shared" si="67"/>
        <v>Q2</v>
      </c>
      <c r="F581" t="s">
        <v>649</v>
      </c>
      <c r="G581" t="s">
        <v>658</v>
      </c>
      <c r="H581" t="s">
        <v>693</v>
      </c>
      <c r="I581" t="s">
        <v>706</v>
      </c>
      <c r="J581" t="s">
        <v>710</v>
      </c>
      <c r="K581" t="s">
        <v>714</v>
      </c>
      <c r="L581" t="s">
        <v>728</v>
      </c>
      <c r="M581">
        <f t="shared" si="68"/>
        <v>0.39289266793811528</v>
      </c>
      <c r="N581" t="s">
        <v>829</v>
      </c>
      <c r="O581" s="7">
        <v>1084.79</v>
      </c>
      <c r="P581" s="7">
        <v>2484.9899999999998</v>
      </c>
      <c r="Q581" s="12">
        <v>3.4000000000000002E-2</v>
      </c>
      <c r="R581">
        <v>18</v>
      </c>
      <c r="S581">
        <f t="shared" si="62"/>
        <v>43209.006119999991</v>
      </c>
      <c r="T581">
        <f t="shared" si="63"/>
        <v>19526.22</v>
      </c>
      <c r="U581">
        <f t="shared" si="64"/>
        <v>23682.78611999999</v>
      </c>
      <c r="V581">
        <f t="shared" si="65"/>
        <v>0.54809837685755114</v>
      </c>
    </row>
    <row r="582" spans="1:22" x14ac:dyDescent="0.25">
      <c r="A582" t="s">
        <v>443</v>
      </c>
      <c r="B582" s="14">
        <v>45347</v>
      </c>
      <c r="C582" s="14">
        <v>45360</v>
      </c>
      <c r="D582" s="7">
        <f t="shared" si="66"/>
        <v>13</v>
      </c>
      <c r="E582" s="5" t="str">
        <f t="shared" si="67"/>
        <v>Q1</v>
      </c>
      <c r="F582" t="s">
        <v>649</v>
      </c>
      <c r="G582" t="s">
        <v>657</v>
      </c>
      <c r="H582" t="s">
        <v>673</v>
      </c>
      <c r="I582" t="s">
        <v>705</v>
      </c>
      <c r="J582" t="s">
        <v>711</v>
      </c>
      <c r="K582" t="s">
        <v>718</v>
      </c>
      <c r="L582" t="s">
        <v>732</v>
      </c>
      <c r="M582">
        <f t="shared" si="68"/>
        <v>0.12230545432276947</v>
      </c>
      <c r="N582" t="s">
        <v>1161</v>
      </c>
      <c r="O582" s="7">
        <v>322.44</v>
      </c>
      <c r="P582" s="7">
        <v>395.61</v>
      </c>
      <c r="Q582" s="12">
        <v>0</v>
      </c>
      <c r="R582">
        <v>34</v>
      </c>
      <c r="S582">
        <f t="shared" si="62"/>
        <v>13450.74</v>
      </c>
      <c r="T582">
        <f t="shared" si="63"/>
        <v>10962.96</v>
      </c>
      <c r="U582">
        <f t="shared" si="64"/>
        <v>2487.7800000000007</v>
      </c>
      <c r="V582">
        <f t="shared" si="65"/>
        <v>0.18495487980586947</v>
      </c>
    </row>
    <row r="583" spans="1:22" x14ac:dyDescent="0.25">
      <c r="A583" t="s">
        <v>114</v>
      </c>
      <c r="B583" s="14">
        <v>44985</v>
      </c>
      <c r="C583" s="14">
        <v>45005</v>
      </c>
      <c r="D583" s="7">
        <f t="shared" si="66"/>
        <v>20</v>
      </c>
      <c r="E583" s="5" t="str">
        <f t="shared" si="67"/>
        <v>Q1</v>
      </c>
      <c r="F583" t="s">
        <v>649</v>
      </c>
      <c r="G583" t="s">
        <v>656</v>
      </c>
      <c r="H583" t="s">
        <v>671</v>
      </c>
      <c r="I583" t="s">
        <v>705</v>
      </c>
      <c r="J583" t="s">
        <v>709</v>
      </c>
      <c r="K583" t="s">
        <v>722</v>
      </c>
      <c r="L583" t="s">
        <v>731</v>
      </c>
      <c r="M583">
        <f t="shared" si="68"/>
        <v>0.23189393689933185</v>
      </c>
      <c r="N583" t="s">
        <v>833</v>
      </c>
      <c r="O583" s="7">
        <v>1200.78</v>
      </c>
      <c r="P583" s="7">
        <v>2001.17</v>
      </c>
      <c r="Q583" s="12">
        <v>0.29199999999999998</v>
      </c>
      <c r="R583">
        <v>18</v>
      </c>
      <c r="S583">
        <f t="shared" si="62"/>
        <v>25502.910479999999</v>
      </c>
      <c r="T583">
        <f t="shared" si="63"/>
        <v>21614.04</v>
      </c>
      <c r="U583">
        <f t="shared" si="64"/>
        <v>3888.8704799999978</v>
      </c>
      <c r="V583">
        <f t="shared" si="65"/>
        <v>0.15248732034132906</v>
      </c>
    </row>
    <row r="584" spans="1:22" x14ac:dyDescent="0.25">
      <c r="A584" t="s">
        <v>93</v>
      </c>
      <c r="B584" s="14">
        <v>45091</v>
      </c>
      <c r="C584" s="14">
        <v>45093</v>
      </c>
      <c r="D584" s="7">
        <f t="shared" si="66"/>
        <v>2</v>
      </c>
      <c r="E584" s="5" t="str">
        <f t="shared" si="67"/>
        <v>Q2</v>
      </c>
      <c r="F584" t="s">
        <v>649</v>
      </c>
      <c r="G584" t="s">
        <v>658</v>
      </c>
      <c r="H584" t="s">
        <v>693</v>
      </c>
      <c r="I584" t="s">
        <v>703</v>
      </c>
      <c r="J584" t="s">
        <v>710</v>
      </c>
      <c r="K584" t="s">
        <v>723</v>
      </c>
      <c r="L584" t="s">
        <v>727</v>
      </c>
      <c r="M584">
        <f t="shared" si="68"/>
        <v>9.5072876111717539E-2</v>
      </c>
      <c r="N584" t="s">
        <v>812</v>
      </c>
      <c r="O584" s="7">
        <v>357.36</v>
      </c>
      <c r="P584" s="7">
        <v>703.62</v>
      </c>
      <c r="Q584" s="12">
        <v>0.25700000000000001</v>
      </c>
      <c r="R584">
        <v>20</v>
      </c>
      <c r="S584">
        <f t="shared" si="62"/>
        <v>10455.7932</v>
      </c>
      <c r="T584">
        <f t="shared" si="63"/>
        <v>7147.2000000000007</v>
      </c>
      <c r="U584">
        <f t="shared" si="64"/>
        <v>3308.5931999999993</v>
      </c>
      <c r="V584">
        <f t="shared" si="65"/>
        <v>0.31643636563125593</v>
      </c>
    </row>
    <row r="585" spans="1:22" x14ac:dyDescent="0.25">
      <c r="A585" t="s">
        <v>346</v>
      </c>
      <c r="B585" s="14">
        <v>45914</v>
      </c>
      <c r="C585" s="14">
        <v>45926</v>
      </c>
      <c r="D585" s="7">
        <f t="shared" si="66"/>
        <v>12</v>
      </c>
      <c r="E585" s="5" t="str">
        <f t="shared" si="67"/>
        <v>Q3</v>
      </c>
      <c r="F585" t="s">
        <v>649</v>
      </c>
      <c r="G585" t="s">
        <v>658</v>
      </c>
      <c r="H585" t="s">
        <v>683</v>
      </c>
      <c r="I585" t="s">
        <v>705</v>
      </c>
      <c r="J585" t="s">
        <v>710</v>
      </c>
      <c r="K585" t="s">
        <v>725</v>
      </c>
      <c r="L585" t="s">
        <v>729</v>
      </c>
      <c r="M585">
        <f t="shared" si="68"/>
        <v>7.9693364542788067E-2</v>
      </c>
      <c r="N585" t="s">
        <v>1065</v>
      </c>
      <c r="O585" s="7">
        <v>425.15</v>
      </c>
      <c r="P585" s="7">
        <v>885.92</v>
      </c>
      <c r="Q585" s="12">
        <v>0.23899999999999999</v>
      </c>
      <c r="R585">
        <v>13</v>
      </c>
      <c r="S585">
        <f t="shared" si="62"/>
        <v>8764.4065599999994</v>
      </c>
      <c r="T585">
        <f t="shared" si="63"/>
        <v>5526.95</v>
      </c>
      <c r="U585">
        <f t="shared" si="64"/>
        <v>3237.4565599999996</v>
      </c>
      <c r="V585">
        <f t="shared" si="65"/>
        <v>0.3693868532725848</v>
      </c>
    </row>
    <row r="586" spans="1:22" x14ac:dyDescent="0.25">
      <c r="A586" t="s">
        <v>483</v>
      </c>
      <c r="B586" s="14">
        <v>45809</v>
      </c>
      <c r="C586" s="14">
        <v>45813</v>
      </c>
      <c r="D586" s="7">
        <f t="shared" si="66"/>
        <v>4</v>
      </c>
      <c r="E586" s="5" t="str">
        <f t="shared" si="67"/>
        <v>Q2</v>
      </c>
      <c r="F586" t="s">
        <v>649</v>
      </c>
      <c r="G586" t="s">
        <v>656</v>
      </c>
      <c r="H586" t="s">
        <v>684</v>
      </c>
      <c r="I586" t="s">
        <v>706</v>
      </c>
      <c r="J586" t="s">
        <v>707</v>
      </c>
      <c r="K586" t="s">
        <v>724</v>
      </c>
      <c r="L586" t="s">
        <v>727</v>
      </c>
      <c r="M586">
        <f t="shared" si="68"/>
        <v>0.229767844205817</v>
      </c>
      <c r="N586" t="s">
        <v>1201</v>
      </c>
      <c r="O586" s="7">
        <v>1171.42</v>
      </c>
      <c r="P586" s="7">
        <v>2187.8000000000002</v>
      </c>
      <c r="Q586" s="12">
        <v>0.23</v>
      </c>
      <c r="R586">
        <v>15</v>
      </c>
      <c r="S586">
        <f t="shared" si="62"/>
        <v>25269.09</v>
      </c>
      <c r="T586">
        <f t="shared" si="63"/>
        <v>17571.300000000003</v>
      </c>
      <c r="U586">
        <f t="shared" si="64"/>
        <v>7697.7899999999972</v>
      </c>
      <c r="V586">
        <f t="shared" si="65"/>
        <v>0.30463265594447592</v>
      </c>
    </row>
    <row r="587" spans="1:22" x14ac:dyDescent="0.25">
      <c r="A587" t="s">
        <v>307</v>
      </c>
      <c r="B587" s="14">
        <v>45220</v>
      </c>
      <c r="C587" s="14">
        <v>45239</v>
      </c>
      <c r="D587" s="7">
        <f t="shared" si="66"/>
        <v>19</v>
      </c>
      <c r="E587" s="5" t="str">
        <f t="shared" si="67"/>
        <v>Q4</v>
      </c>
      <c r="F587" t="s">
        <v>649</v>
      </c>
      <c r="G587" t="s">
        <v>658</v>
      </c>
      <c r="H587" t="s">
        <v>683</v>
      </c>
      <c r="I587" t="s">
        <v>703</v>
      </c>
      <c r="J587" t="s">
        <v>711</v>
      </c>
      <c r="K587" t="s">
        <v>720</v>
      </c>
      <c r="L587" t="s">
        <v>733</v>
      </c>
      <c r="M587">
        <f t="shared" si="68"/>
        <v>0.21255058469444296</v>
      </c>
      <c r="N587" t="s">
        <v>1026</v>
      </c>
      <c r="O587" s="7">
        <v>1142.48</v>
      </c>
      <c r="P587" s="7">
        <v>2105.5300000000002</v>
      </c>
      <c r="Q587" s="12">
        <v>0.20699999999999999</v>
      </c>
      <c r="R587">
        <v>14</v>
      </c>
      <c r="S587">
        <f t="shared" si="62"/>
        <v>23375.594060000003</v>
      </c>
      <c r="T587">
        <f t="shared" si="63"/>
        <v>15994.720000000001</v>
      </c>
      <c r="U587">
        <f t="shared" si="64"/>
        <v>7380.8740600000019</v>
      </c>
      <c r="V587">
        <f t="shared" si="65"/>
        <v>0.31575129346680658</v>
      </c>
    </row>
    <row r="588" spans="1:22" x14ac:dyDescent="0.25">
      <c r="A588" t="s">
        <v>273</v>
      </c>
      <c r="B588" s="14">
        <v>45835</v>
      </c>
      <c r="C588" s="14">
        <v>45843</v>
      </c>
      <c r="D588" s="7">
        <f t="shared" si="66"/>
        <v>8</v>
      </c>
      <c r="E588" s="5" t="str">
        <f t="shared" si="67"/>
        <v>Q2</v>
      </c>
      <c r="F588" t="s">
        <v>649</v>
      </c>
      <c r="G588" t="s">
        <v>656</v>
      </c>
      <c r="H588" t="s">
        <v>684</v>
      </c>
      <c r="I588" t="s">
        <v>705</v>
      </c>
      <c r="J588" t="s">
        <v>709</v>
      </c>
      <c r="K588" t="s">
        <v>715</v>
      </c>
      <c r="L588" t="s">
        <v>732</v>
      </c>
      <c r="M588">
        <f t="shared" si="68"/>
        <v>3.9784475592910228E-2</v>
      </c>
      <c r="N588" t="s">
        <v>992</v>
      </c>
      <c r="O588" s="7">
        <v>314.93</v>
      </c>
      <c r="P588" s="7">
        <v>687.95</v>
      </c>
      <c r="Q588" s="12">
        <v>0.20499999999999999</v>
      </c>
      <c r="R588">
        <v>8</v>
      </c>
      <c r="S588">
        <f t="shared" si="62"/>
        <v>4375.3620000000001</v>
      </c>
      <c r="T588">
        <f t="shared" si="63"/>
        <v>2519.44</v>
      </c>
      <c r="U588">
        <f t="shared" si="64"/>
        <v>1855.922</v>
      </c>
      <c r="V588">
        <f t="shared" si="65"/>
        <v>0.424175645352316</v>
      </c>
    </row>
    <row r="589" spans="1:22" x14ac:dyDescent="0.25">
      <c r="A589" t="s">
        <v>272</v>
      </c>
      <c r="B589" s="14">
        <v>45035</v>
      </c>
      <c r="C589" s="14">
        <v>45053</v>
      </c>
      <c r="D589" s="7">
        <f t="shared" si="66"/>
        <v>18</v>
      </c>
      <c r="E589" s="5" t="str">
        <f t="shared" si="67"/>
        <v>Q2</v>
      </c>
      <c r="F589" t="s">
        <v>649</v>
      </c>
      <c r="G589" t="s">
        <v>658</v>
      </c>
      <c r="H589" t="s">
        <v>683</v>
      </c>
      <c r="I589" t="s">
        <v>703</v>
      </c>
      <c r="J589" t="s">
        <v>707</v>
      </c>
      <c r="K589" t="s">
        <v>722</v>
      </c>
      <c r="L589" t="s">
        <v>729</v>
      </c>
      <c r="M589">
        <f t="shared" si="68"/>
        <v>2.1769723822812437E-2</v>
      </c>
      <c r="N589" t="s">
        <v>991</v>
      </c>
      <c r="O589" s="7">
        <v>516.96</v>
      </c>
      <c r="P589" s="7">
        <v>745.38</v>
      </c>
      <c r="Q589" s="12">
        <v>0.19700000000000001</v>
      </c>
      <c r="R589">
        <v>4</v>
      </c>
      <c r="S589">
        <f t="shared" si="62"/>
        <v>2394.1605599999998</v>
      </c>
      <c r="T589">
        <f t="shared" si="63"/>
        <v>2067.84</v>
      </c>
      <c r="U589">
        <f t="shared" si="64"/>
        <v>326.32055999999966</v>
      </c>
      <c r="V589">
        <f t="shared" si="65"/>
        <v>0.13629852794835101</v>
      </c>
    </row>
    <row r="590" spans="1:22" x14ac:dyDescent="0.25">
      <c r="A590" t="s">
        <v>232</v>
      </c>
      <c r="B590" s="14">
        <v>44948</v>
      </c>
      <c r="C590" s="15">
        <v>44947</v>
      </c>
      <c r="D590" s="7">
        <f t="shared" si="66"/>
        <v>-1</v>
      </c>
      <c r="E590" s="5" t="str">
        <f t="shared" si="67"/>
        <v>Q1</v>
      </c>
      <c r="F590" t="s">
        <v>649</v>
      </c>
      <c r="G590" t="s">
        <v>656</v>
      </c>
      <c r="H590" t="s">
        <v>684</v>
      </c>
      <c r="I590" t="s">
        <v>701</v>
      </c>
      <c r="J590" t="s">
        <v>711</v>
      </c>
      <c r="K590" t="s">
        <v>721</v>
      </c>
      <c r="L590" t="s">
        <v>732</v>
      </c>
      <c r="M590">
        <f t="shared" si="68"/>
        <v>2.0292011144183764E-2</v>
      </c>
      <c r="N590" t="s">
        <v>951</v>
      </c>
      <c r="O590" s="7">
        <v>150.86000000000001</v>
      </c>
      <c r="P590" s="7">
        <v>346.96</v>
      </c>
      <c r="Q590" s="12">
        <v>0.19600000000000001</v>
      </c>
      <c r="R590">
        <v>8</v>
      </c>
      <c r="S590">
        <f t="shared" si="62"/>
        <v>2231.6467200000002</v>
      </c>
      <c r="T590">
        <f t="shared" si="63"/>
        <v>1206.8800000000001</v>
      </c>
      <c r="U590">
        <f t="shared" si="64"/>
        <v>1024.7667200000001</v>
      </c>
      <c r="V590">
        <f t="shared" si="65"/>
        <v>0.45919755614365343</v>
      </c>
    </row>
    <row r="591" spans="1:22" x14ac:dyDescent="0.25">
      <c r="A591" t="s">
        <v>163</v>
      </c>
      <c r="B591" s="14">
        <v>45183</v>
      </c>
      <c r="C591" s="14">
        <v>45185</v>
      </c>
      <c r="D591" s="7">
        <f t="shared" si="66"/>
        <v>2</v>
      </c>
      <c r="E591" s="5" t="str">
        <f t="shared" si="67"/>
        <v>Q3</v>
      </c>
      <c r="F591" t="s">
        <v>649</v>
      </c>
      <c r="G591" t="s">
        <v>657</v>
      </c>
      <c r="H591" t="s">
        <v>679</v>
      </c>
      <c r="I591" t="s">
        <v>703</v>
      </c>
      <c r="J591" t="s">
        <v>709</v>
      </c>
      <c r="K591" t="s">
        <v>717</v>
      </c>
      <c r="L591" t="s">
        <v>728</v>
      </c>
      <c r="M591">
        <f t="shared" si="68"/>
        <v>0.13527843030871517</v>
      </c>
      <c r="N591" t="s">
        <v>882</v>
      </c>
      <c r="O591" s="7">
        <v>376.83</v>
      </c>
      <c r="P591" s="7">
        <v>732.88</v>
      </c>
      <c r="Q591" s="12">
        <v>0.188</v>
      </c>
      <c r="R591">
        <v>25</v>
      </c>
      <c r="S591">
        <f t="shared" si="62"/>
        <v>14877.464000000002</v>
      </c>
      <c r="T591">
        <f t="shared" si="63"/>
        <v>9420.75</v>
      </c>
      <c r="U591">
        <f t="shared" si="64"/>
        <v>5456.7140000000018</v>
      </c>
      <c r="V591">
        <f t="shared" si="65"/>
        <v>0.36677716040852132</v>
      </c>
    </row>
    <row r="592" spans="1:22" x14ac:dyDescent="0.25">
      <c r="A592" t="s">
        <v>365</v>
      </c>
      <c r="B592" s="14">
        <v>44980</v>
      </c>
      <c r="C592" s="14">
        <v>44993</v>
      </c>
      <c r="D592" s="7">
        <f t="shared" si="66"/>
        <v>13</v>
      </c>
      <c r="E592" s="5" t="str">
        <f t="shared" si="67"/>
        <v>Q1</v>
      </c>
      <c r="F592" t="s">
        <v>649</v>
      </c>
      <c r="G592" t="s">
        <v>658</v>
      </c>
      <c r="H592" t="s">
        <v>693</v>
      </c>
      <c r="I592" t="s">
        <v>705</v>
      </c>
      <c r="J592" t="s">
        <v>710</v>
      </c>
      <c r="K592" t="s">
        <v>712</v>
      </c>
      <c r="L592" t="s">
        <v>728</v>
      </c>
      <c r="M592">
        <f t="shared" si="68"/>
        <v>3.7571919064308588E-2</v>
      </c>
      <c r="N592" t="s">
        <v>1084</v>
      </c>
      <c r="O592" s="7">
        <v>307.37</v>
      </c>
      <c r="P592" s="7">
        <v>462.61</v>
      </c>
      <c r="Q592" s="12">
        <v>0.188</v>
      </c>
      <c r="R592">
        <v>11</v>
      </c>
      <c r="S592">
        <f t="shared" si="62"/>
        <v>4132.0325200000007</v>
      </c>
      <c r="T592">
        <f t="shared" si="63"/>
        <v>3381.07</v>
      </c>
      <c r="U592">
        <f t="shared" si="64"/>
        <v>750.9625200000005</v>
      </c>
      <c r="V592">
        <f t="shared" si="65"/>
        <v>0.18174167709599739</v>
      </c>
    </row>
    <row r="593" spans="1:22" x14ac:dyDescent="0.25">
      <c r="A593" t="s">
        <v>94</v>
      </c>
      <c r="B593" s="14">
        <v>45617</v>
      </c>
      <c r="C593" s="14">
        <v>45647</v>
      </c>
      <c r="D593" s="7">
        <f t="shared" si="66"/>
        <v>30</v>
      </c>
      <c r="E593" s="5" t="str">
        <f t="shared" si="67"/>
        <v>Q4</v>
      </c>
      <c r="F593" t="s">
        <v>649</v>
      </c>
      <c r="G593" t="s">
        <v>657</v>
      </c>
      <c r="H593" t="s">
        <v>673</v>
      </c>
      <c r="I593" t="s">
        <v>705</v>
      </c>
      <c r="J593" t="s">
        <v>707</v>
      </c>
      <c r="K593" t="s">
        <v>714</v>
      </c>
      <c r="L593" t="s">
        <v>732</v>
      </c>
      <c r="M593">
        <f t="shared" si="68"/>
        <v>4.4347045325293197E-2</v>
      </c>
      <c r="N593" t="s">
        <v>813</v>
      </c>
      <c r="O593" s="7">
        <v>1122.68</v>
      </c>
      <c r="P593" s="7">
        <v>1997.19</v>
      </c>
      <c r="Q593" s="12">
        <v>0.186</v>
      </c>
      <c r="R593">
        <v>3</v>
      </c>
      <c r="S593">
        <f t="shared" si="62"/>
        <v>4877.1379800000004</v>
      </c>
      <c r="T593">
        <f t="shared" si="63"/>
        <v>3368.04</v>
      </c>
      <c r="U593">
        <f t="shared" si="64"/>
        <v>1509.0979800000005</v>
      </c>
      <c r="V593">
        <f t="shared" si="65"/>
        <v>0.30942285951073306</v>
      </c>
    </row>
    <row r="594" spans="1:22" x14ac:dyDescent="0.25">
      <c r="A594" t="s">
        <v>325</v>
      </c>
      <c r="B594" s="14">
        <v>45655</v>
      </c>
      <c r="C594" s="14">
        <v>45669</v>
      </c>
      <c r="D594" s="7">
        <f t="shared" si="66"/>
        <v>14</v>
      </c>
      <c r="E594" s="5" t="str">
        <f t="shared" si="67"/>
        <v>Q4</v>
      </c>
      <c r="F594" t="s">
        <v>649</v>
      </c>
      <c r="G594" t="s">
        <v>658</v>
      </c>
      <c r="H594" t="s">
        <v>693</v>
      </c>
      <c r="I594" t="s">
        <v>701</v>
      </c>
      <c r="J594" t="s">
        <v>710</v>
      </c>
      <c r="K594" t="s">
        <v>717</v>
      </c>
      <c r="L594" t="s">
        <v>732</v>
      </c>
      <c r="M594">
        <f t="shared" si="68"/>
        <v>0.28005293202607223</v>
      </c>
      <c r="N594" t="s">
        <v>1044</v>
      </c>
      <c r="O594" s="7">
        <v>1399.72</v>
      </c>
      <c r="P594" s="7">
        <v>3149.21</v>
      </c>
      <c r="Q594" s="12">
        <v>0.185</v>
      </c>
      <c r="R594">
        <v>12</v>
      </c>
      <c r="S594">
        <f t="shared" si="62"/>
        <v>30799.273800000003</v>
      </c>
      <c r="T594">
        <f t="shared" si="63"/>
        <v>16796.64</v>
      </c>
      <c r="U594">
        <f t="shared" si="64"/>
        <v>14002.633800000003</v>
      </c>
      <c r="V594">
        <f t="shared" si="65"/>
        <v>0.45464168703873797</v>
      </c>
    </row>
    <row r="595" spans="1:22" x14ac:dyDescent="0.25">
      <c r="A595" t="s">
        <v>132</v>
      </c>
      <c r="B595" s="14">
        <v>45653</v>
      </c>
      <c r="C595" s="14">
        <v>45659</v>
      </c>
      <c r="D595" s="7">
        <f t="shared" si="66"/>
        <v>6</v>
      </c>
      <c r="E595" s="5" t="str">
        <f t="shared" si="67"/>
        <v>Q4</v>
      </c>
      <c r="F595" t="s">
        <v>649</v>
      </c>
      <c r="G595" t="s">
        <v>656</v>
      </c>
      <c r="H595" t="s">
        <v>698</v>
      </c>
      <c r="I595" t="s">
        <v>702</v>
      </c>
      <c r="J595" t="s">
        <v>708</v>
      </c>
      <c r="K595" t="s">
        <v>721</v>
      </c>
      <c r="L595" t="s">
        <v>731</v>
      </c>
      <c r="M595">
        <f t="shared" si="68"/>
        <v>0.59211977868296983</v>
      </c>
      <c r="N595" t="s">
        <v>851</v>
      </c>
      <c r="O595" s="7">
        <v>1391.99</v>
      </c>
      <c r="P595" s="7">
        <v>3469.7</v>
      </c>
      <c r="Q595" s="12">
        <v>0.184</v>
      </c>
      <c r="R595">
        <v>23</v>
      </c>
      <c r="S595">
        <f t="shared" si="62"/>
        <v>65119.329599999997</v>
      </c>
      <c r="T595">
        <f t="shared" si="63"/>
        <v>32015.77</v>
      </c>
      <c r="U595">
        <f t="shared" si="64"/>
        <v>33103.559599999993</v>
      </c>
      <c r="V595">
        <f t="shared" si="65"/>
        <v>0.50835227886006973</v>
      </c>
    </row>
    <row r="596" spans="1:22" x14ac:dyDescent="0.25">
      <c r="A596" t="s">
        <v>535</v>
      </c>
      <c r="B596" s="14">
        <v>45482</v>
      </c>
      <c r="C596" s="14">
        <v>45512</v>
      </c>
      <c r="D596" s="7">
        <f t="shared" si="66"/>
        <v>30</v>
      </c>
      <c r="E596" s="5" t="str">
        <f t="shared" si="67"/>
        <v>Q3</v>
      </c>
      <c r="F596" t="s">
        <v>649</v>
      </c>
      <c r="G596" t="s">
        <v>657</v>
      </c>
      <c r="H596" t="s">
        <v>673</v>
      </c>
      <c r="I596" t="s">
        <v>701</v>
      </c>
      <c r="J596" t="s">
        <v>711</v>
      </c>
      <c r="K596" t="s">
        <v>713</v>
      </c>
      <c r="L596" t="s">
        <v>727</v>
      </c>
      <c r="M596">
        <f t="shared" si="68"/>
        <v>6.728233201516795E-2</v>
      </c>
      <c r="N596" t="s">
        <v>1253</v>
      </c>
      <c r="O596" s="7">
        <v>1062.3800000000001</v>
      </c>
      <c r="P596" s="7">
        <v>1503.96</v>
      </c>
      <c r="Q596" s="12">
        <v>0.18</v>
      </c>
      <c r="R596">
        <v>6</v>
      </c>
      <c r="S596">
        <f t="shared" si="62"/>
        <v>7399.4832000000006</v>
      </c>
      <c r="T596">
        <f t="shared" si="63"/>
        <v>6374.2800000000007</v>
      </c>
      <c r="U596">
        <f t="shared" si="64"/>
        <v>1025.2031999999999</v>
      </c>
      <c r="V596">
        <f t="shared" si="65"/>
        <v>0.13855064905073369</v>
      </c>
    </row>
    <row r="597" spans="1:22" x14ac:dyDescent="0.25">
      <c r="A597" t="s">
        <v>142</v>
      </c>
      <c r="B597" s="14">
        <v>45874</v>
      </c>
      <c r="C597" s="14">
        <v>45883</v>
      </c>
      <c r="D597" s="7">
        <f t="shared" si="66"/>
        <v>9</v>
      </c>
      <c r="E597" s="5" t="str">
        <f t="shared" si="67"/>
        <v>Q3</v>
      </c>
      <c r="F597" t="s">
        <v>649</v>
      </c>
      <c r="G597" t="s">
        <v>658</v>
      </c>
      <c r="H597" t="s">
        <v>683</v>
      </c>
      <c r="I597" t="s">
        <v>703</v>
      </c>
      <c r="J597" t="s">
        <v>710</v>
      </c>
      <c r="K597" t="s">
        <v>718</v>
      </c>
      <c r="L597" t="s">
        <v>727</v>
      </c>
      <c r="M597">
        <f t="shared" si="68"/>
        <v>7.7591291682698581E-3</v>
      </c>
      <c r="N597" t="s">
        <v>861</v>
      </c>
      <c r="O597" s="7">
        <v>41.76</v>
      </c>
      <c r="P597" s="7">
        <v>45.19</v>
      </c>
      <c r="Q597" s="12">
        <v>0.17899999999999999</v>
      </c>
      <c r="R597">
        <v>23</v>
      </c>
      <c r="S597">
        <f t="shared" si="62"/>
        <v>853.32276999999988</v>
      </c>
      <c r="T597">
        <f t="shared" si="63"/>
        <v>960.4799999999999</v>
      </c>
      <c r="U597">
        <f t="shared" si="64"/>
        <v>-107.15723000000003</v>
      </c>
      <c r="V597">
        <f t="shared" si="65"/>
        <v>-0.12557643340514638</v>
      </c>
    </row>
    <row r="598" spans="1:22" x14ac:dyDescent="0.25">
      <c r="A598" t="s">
        <v>606</v>
      </c>
      <c r="B598" s="14">
        <v>45899</v>
      </c>
      <c r="C598" s="14">
        <v>45922</v>
      </c>
      <c r="D598" s="7">
        <f t="shared" si="66"/>
        <v>23</v>
      </c>
      <c r="E598" s="5" t="str">
        <f t="shared" si="67"/>
        <v>Q3</v>
      </c>
      <c r="F598" t="s">
        <v>649</v>
      </c>
      <c r="G598" t="s">
        <v>657</v>
      </c>
      <c r="H598" t="s">
        <v>673</v>
      </c>
      <c r="I598" t="s">
        <v>701</v>
      </c>
      <c r="J598" t="s">
        <v>710</v>
      </c>
      <c r="K598" t="s">
        <v>718</v>
      </c>
      <c r="L598" t="s">
        <v>727</v>
      </c>
      <c r="M598">
        <f t="shared" si="68"/>
        <v>0.10677606489270156</v>
      </c>
      <c r="N598" t="s">
        <v>1323</v>
      </c>
      <c r="O598" s="7">
        <v>663.9</v>
      </c>
      <c r="P598" s="7">
        <v>947.77</v>
      </c>
      <c r="Q598" s="12">
        <v>0.17399999999999999</v>
      </c>
      <c r="R598">
        <v>15</v>
      </c>
      <c r="S598">
        <f t="shared" si="62"/>
        <v>11742.8703</v>
      </c>
      <c r="T598">
        <f t="shared" si="63"/>
        <v>9958.5</v>
      </c>
      <c r="U598">
        <f t="shared" si="64"/>
        <v>1784.3703000000005</v>
      </c>
      <c r="V598">
        <f t="shared" si="65"/>
        <v>0.1519535049280073</v>
      </c>
    </row>
    <row r="599" spans="1:22" x14ac:dyDescent="0.25">
      <c r="A599" t="s">
        <v>318</v>
      </c>
      <c r="B599" s="14">
        <v>45830</v>
      </c>
      <c r="C599" s="14">
        <v>45846</v>
      </c>
      <c r="D599" s="7">
        <f t="shared" si="66"/>
        <v>16</v>
      </c>
      <c r="E599" s="5" t="str">
        <f t="shared" si="67"/>
        <v>Q2</v>
      </c>
      <c r="F599" t="s">
        <v>649</v>
      </c>
      <c r="G599" t="s">
        <v>658</v>
      </c>
      <c r="H599" t="s">
        <v>683</v>
      </c>
      <c r="I599" t="s">
        <v>702</v>
      </c>
      <c r="J599" t="s">
        <v>710</v>
      </c>
      <c r="K599" t="s">
        <v>720</v>
      </c>
      <c r="L599" t="s">
        <v>730</v>
      </c>
      <c r="M599">
        <f t="shared" si="68"/>
        <v>7.3592720754658961E-2</v>
      </c>
      <c r="N599" t="s">
        <v>1037</v>
      </c>
      <c r="O599" s="7">
        <v>892.73</v>
      </c>
      <c r="P599" s="7">
        <v>979.84</v>
      </c>
      <c r="Q599" s="12">
        <v>0.17399999999999999</v>
      </c>
      <c r="R599">
        <v>10</v>
      </c>
      <c r="S599">
        <f t="shared" si="62"/>
        <v>8093.4784</v>
      </c>
      <c r="T599">
        <f t="shared" si="63"/>
        <v>8927.2999999999993</v>
      </c>
      <c r="U599">
        <f t="shared" si="64"/>
        <v>-833.82159999999931</v>
      </c>
      <c r="V599">
        <f t="shared" si="65"/>
        <v>-0.10302388649112838</v>
      </c>
    </row>
    <row r="600" spans="1:22" x14ac:dyDescent="0.25">
      <c r="A600" t="s">
        <v>492</v>
      </c>
      <c r="B600" s="14">
        <v>44999</v>
      </c>
      <c r="C600" s="14">
        <v>45003</v>
      </c>
      <c r="D600" s="7">
        <f t="shared" si="66"/>
        <v>4</v>
      </c>
      <c r="E600" s="5" t="str">
        <f t="shared" si="67"/>
        <v>Q1</v>
      </c>
      <c r="F600" t="s">
        <v>649</v>
      </c>
      <c r="G600" t="s">
        <v>656</v>
      </c>
      <c r="H600" t="s">
        <v>698</v>
      </c>
      <c r="I600" t="s">
        <v>706</v>
      </c>
      <c r="J600" t="s">
        <v>710</v>
      </c>
      <c r="K600" t="s">
        <v>720</v>
      </c>
      <c r="L600" t="s">
        <v>727</v>
      </c>
      <c r="M600">
        <f t="shared" si="68"/>
        <v>3.8302456907998682E-2</v>
      </c>
      <c r="N600" t="s">
        <v>1210</v>
      </c>
      <c r="O600" s="7">
        <v>472.33</v>
      </c>
      <c r="P600" s="7">
        <v>360.34</v>
      </c>
      <c r="Q600" s="12">
        <v>0.16500000000000001</v>
      </c>
      <c r="R600">
        <v>14</v>
      </c>
      <c r="S600">
        <f t="shared" si="62"/>
        <v>4212.3745999999992</v>
      </c>
      <c r="T600">
        <f t="shared" si="63"/>
        <v>6612.62</v>
      </c>
      <c r="U600">
        <f t="shared" si="64"/>
        <v>-2400.2454000000007</v>
      </c>
      <c r="V600">
        <f t="shared" si="65"/>
        <v>-0.56980815523861561</v>
      </c>
    </row>
    <row r="601" spans="1:22" x14ac:dyDescent="0.25">
      <c r="A601" t="s">
        <v>214</v>
      </c>
      <c r="B601" s="14">
        <v>45030</v>
      </c>
      <c r="C601" s="14">
        <v>45059</v>
      </c>
      <c r="D601" s="7">
        <f t="shared" si="66"/>
        <v>29</v>
      </c>
      <c r="E601" s="5" t="str">
        <f t="shared" si="67"/>
        <v>Q2</v>
      </c>
      <c r="F601" t="s">
        <v>649</v>
      </c>
      <c r="G601" t="s">
        <v>656</v>
      </c>
      <c r="H601" t="s">
        <v>698</v>
      </c>
      <c r="I601" t="s">
        <v>704</v>
      </c>
      <c r="J601" t="s">
        <v>708</v>
      </c>
      <c r="K601" t="s">
        <v>713</v>
      </c>
      <c r="L601" t="s">
        <v>728</v>
      </c>
      <c r="M601">
        <f t="shared" si="68"/>
        <v>0.5081124126122345</v>
      </c>
      <c r="N601" t="s">
        <v>933</v>
      </c>
      <c r="O601" s="7">
        <v>1320.33</v>
      </c>
      <c r="P601" s="7">
        <v>2645.23</v>
      </c>
      <c r="Q601" s="12">
        <v>0.155</v>
      </c>
      <c r="R601">
        <v>25</v>
      </c>
      <c r="S601">
        <f t="shared" si="62"/>
        <v>55880.483749999999</v>
      </c>
      <c r="T601">
        <f t="shared" si="63"/>
        <v>33008.25</v>
      </c>
      <c r="U601">
        <f t="shared" si="64"/>
        <v>22872.233749999999</v>
      </c>
      <c r="V601">
        <f t="shared" si="65"/>
        <v>0.40930629470436536</v>
      </c>
    </row>
    <row r="602" spans="1:22" x14ac:dyDescent="0.25">
      <c r="A602" t="s">
        <v>299</v>
      </c>
      <c r="B602" s="14">
        <v>45304</v>
      </c>
      <c r="C602" s="14">
        <v>45327</v>
      </c>
      <c r="D602" s="7">
        <f t="shared" si="66"/>
        <v>23</v>
      </c>
      <c r="E602" s="5" t="str">
        <f t="shared" si="67"/>
        <v>Q1</v>
      </c>
      <c r="F602" t="s">
        <v>649</v>
      </c>
      <c r="G602" t="s">
        <v>656</v>
      </c>
      <c r="H602" t="s">
        <v>698</v>
      </c>
      <c r="I602" t="s">
        <v>702</v>
      </c>
      <c r="J602" t="s">
        <v>711</v>
      </c>
      <c r="K602" t="s">
        <v>717</v>
      </c>
      <c r="L602" t="s">
        <v>731</v>
      </c>
      <c r="M602">
        <f t="shared" si="68"/>
        <v>0.14098887696665269</v>
      </c>
      <c r="N602" t="s">
        <v>1018</v>
      </c>
      <c r="O602" s="7">
        <v>1017.93</v>
      </c>
      <c r="P602" s="7">
        <v>1529.14</v>
      </c>
      <c r="Q602" s="12">
        <v>0.155</v>
      </c>
      <c r="R602">
        <v>12</v>
      </c>
      <c r="S602">
        <f t="shared" si="62"/>
        <v>15505.479600000001</v>
      </c>
      <c r="T602">
        <f t="shared" si="63"/>
        <v>12215.16</v>
      </c>
      <c r="U602">
        <f t="shared" si="64"/>
        <v>3290.3196000000007</v>
      </c>
      <c r="V602">
        <f t="shared" si="65"/>
        <v>0.21220366508366503</v>
      </c>
    </row>
    <row r="603" spans="1:22" x14ac:dyDescent="0.25">
      <c r="A603" t="s">
        <v>284</v>
      </c>
      <c r="B603" s="14">
        <v>45301</v>
      </c>
      <c r="C603" s="14">
        <v>45314</v>
      </c>
      <c r="D603" s="7">
        <f t="shared" si="66"/>
        <v>13</v>
      </c>
      <c r="E603" s="5" t="str">
        <f t="shared" si="67"/>
        <v>Q1</v>
      </c>
      <c r="F603" t="s">
        <v>649</v>
      </c>
      <c r="G603" t="s">
        <v>657</v>
      </c>
      <c r="H603" t="s">
        <v>673</v>
      </c>
      <c r="I603" t="s">
        <v>701</v>
      </c>
      <c r="J603" t="s">
        <v>708</v>
      </c>
      <c r="K603" t="s">
        <v>720</v>
      </c>
      <c r="L603" t="s">
        <v>728</v>
      </c>
      <c r="M603">
        <f t="shared" si="68"/>
        <v>6.981676351362584E-2</v>
      </c>
      <c r="N603" t="s">
        <v>1003</v>
      </c>
      <c r="O603" s="7">
        <v>720</v>
      </c>
      <c r="P603" s="7">
        <v>907.59</v>
      </c>
      <c r="Q603" s="12">
        <v>0.154</v>
      </c>
      <c r="R603">
        <v>10</v>
      </c>
      <c r="S603">
        <f t="shared" si="62"/>
        <v>7678.2113999999992</v>
      </c>
      <c r="T603">
        <f t="shared" si="63"/>
        <v>7200</v>
      </c>
      <c r="U603">
        <f t="shared" si="64"/>
        <v>478.21139999999923</v>
      </c>
      <c r="V603">
        <f t="shared" si="65"/>
        <v>6.2281614179052078E-2</v>
      </c>
    </row>
    <row r="604" spans="1:22" x14ac:dyDescent="0.25">
      <c r="A604" t="s">
        <v>477</v>
      </c>
      <c r="B604" s="14">
        <v>45358</v>
      </c>
      <c r="C604" s="14">
        <v>45385</v>
      </c>
      <c r="D604" s="7">
        <f t="shared" si="66"/>
        <v>27</v>
      </c>
      <c r="E604" s="5" t="str">
        <f t="shared" si="67"/>
        <v>Q1</v>
      </c>
      <c r="F604" t="s">
        <v>649</v>
      </c>
      <c r="G604" t="s">
        <v>656</v>
      </c>
      <c r="H604" t="s">
        <v>698</v>
      </c>
      <c r="I604" t="s">
        <v>701</v>
      </c>
      <c r="J604" t="s">
        <v>710</v>
      </c>
      <c r="K604" t="s">
        <v>724</v>
      </c>
      <c r="L604" t="s">
        <v>728</v>
      </c>
      <c r="M604">
        <f t="shared" si="68"/>
        <v>3.6876180982011966E-2</v>
      </c>
      <c r="N604" t="s">
        <v>1195</v>
      </c>
      <c r="O604" s="7">
        <v>738.16</v>
      </c>
      <c r="P604" s="7">
        <v>956.49</v>
      </c>
      <c r="Q604" s="12">
        <v>0.152</v>
      </c>
      <c r="R604">
        <v>5</v>
      </c>
      <c r="S604">
        <f t="shared" si="62"/>
        <v>4055.5175999999997</v>
      </c>
      <c r="T604">
        <f t="shared" si="63"/>
        <v>3690.7999999999997</v>
      </c>
      <c r="U604">
        <f t="shared" si="64"/>
        <v>364.71759999999995</v>
      </c>
      <c r="V604">
        <f t="shared" si="65"/>
        <v>8.9931208780847108E-2</v>
      </c>
    </row>
    <row r="605" spans="1:22" x14ac:dyDescent="0.25">
      <c r="A605" t="s">
        <v>292</v>
      </c>
      <c r="B605" s="14">
        <v>45832</v>
      </c>
      <c r="C605" s="14">
        <v>45852</v>
      </c>
      <c r="D605" s="7">
        <f t="shared" si="66"/>
        <v>20</v>
      </c>
      <c r="E605" s="5" t="str">
        <f t="shared" si="67"/>
        <v>Q2</v>
      </c>
      <c r="F605" t="s">
        <v>649</v>
      </c>
      <c r="G605" t="s">
        <v>656</v>
      </c>
      <c r="H605" t="s">
        <v>671</v>
      </c>
      <c r="I605" t="s">
        <v>701</v>
      </c>
      <c r="J605" t="s">
        <v>707</v>
      </c>
      <c r="K605" t="s">
        <v>719</v>
      </c>
      <c r="L605" t="s">
        <v>733</v>
      </c>
      <c r="M605">
        <f t="shared" si="68"/>
        <v>5.5162148952890164E-2</v>
      </c>
      <c r="N605" t="s">
        <v>1011</v>
      </c>
      <c r="O605" s="7">
        <v>385.08</v>
      </c>
      <c r="P605" s="7">
        <v>893.19</v>
      </c>
      <c r="Q605" s="12">
        <v>0.151</v>
      </c>
      <c r="R605">
        <v>8</v>
      </c>
      <c r="S605">
        <f t="shared" si="62"/>
        <v>6066.54648</v>
      </c>
      <c r="T605">
        <f t="shared" si="63"/>
        <v>3080.64</v>
      </c>
      <c r="U605">
        <f t="shared" si="64"/>
        <v>2985.9064800000001</v>
      </c>
      <c r="V605">
        <f t="shared" si="65"/>
        <v>0.49219213762621666</v>
      </c>
    </row>
    <row r="606" spans="1:22" x14ac:dyDescent="0.25">
      <c r="A606" t="s">
        <v>551</v>
      </c>
      <c r="B606" s="14">
        <v>45108</v>
      </c>
      <c r="C606" s="14">
        <v>45118</v>
      </c>
      <c r="D606" s="7">
        <f t="shared" si="66"/>
        <v>10</v>
      </c>
      <c r="E606" s="5" t="str">
        <f t="shared" si="67"/>
        <v>Q3</v>
      </c>
      <c r="F606" t="s">
        <v>649</v>
      </c>
      <c r="G606" t="s">
        <v>657</v>
      </c>
      <c r="H606" t="s">
        <v>690</v>
      </c>
      <c r="I606" t="s">
        <v>701</v>
      </c>
      <c r="J606" t="s">
        <v>709</v>
      </c>
      <c r="K606" t="s">
        <v>721</v>
      </c>
      <c r="L606" t="s">
        <v>729</v>
      </c>
      <c r="M606">
        <f t="shared" si="68"/>
        <v>7.1137370067254055E-2</v>
      </c>
      <c r="N606" t="s">
        <v>1269</v>
      </c>
      <c r="O606" s="7">
        <v>479.5</v>
      </c>
      <c r="P606" s="7">
        <v>656.66</v>
      </c>
      <c r="Q606" s="12">
        <v>0.14899999999999999</v>
      </c>
      <c r="R606">
        <v>14</v>
      </c>
      <c r="S606">
        <f t="shared" si="62"/>
        <v>7823.4472399999995</v>
      </c>
      <c r="T606">
        <f t="shared" si="63"/>
        <v>6713</v>
      </c>
      <c r="U606">
        <f t="shared" si="64"/>
        <v>1110.4472399999995</v>
      </c>
      <c r="V606">
        <f t="shared" si="65"/>
        <v>0.14193835606412289</v>
      </c>
    </row>
    <row r="607" spans="1:22" x14ac:dyDescent="0.25">
      <c r="A607" t="s">
        <v>409</v>
      </c>
      <c r="B607" s="14">
        <v>45075</v>
      </c>
      <c r="C607" s="14">
        <v>45097</v>
      </c>
      <c r="D607" s="7">
        <f t="shared" si="66"/>
        <v>22</v>
      </c>
      <c r="E607" s="5" t="str">
        <f t="shared" si="67"/>
        <v>Q2</v>
      </c>
      <c r="F607" t="s">
        <v>649</v>
      </c>
      <c r="G607" t="s">
        <v>658</v>
      </c>
      <c r="H607" t="s">
        <v>683</v>
      </c>
      <c r="I607" t="s">
        <v>705</v>
      </c>
      <c r="J607" t="s">
        <v>708</v>
      </c>
      <c r="K607" t="s">
        <v>723</v>
      </c>
      <c r="L607" t="s">
        <v>727</v>
      </c>
      <c r="M607">
        <f t="shared" si="68"/>
        <v>0.18004635583228212</v>
      </c>
      <c r="N607" t="s">
        <v>1127</v>
      </c>
      <c r="O607" s="7">
        <v>1295.3900000000001</v>
      </c>
      <c r="P607" s="7">
        <v>2905.06</v>
      </c>
      <c r="Q607" s="12">
        <v>0.14799999999999999</v>
      </c>
      <c r="R607">
        <v>8</v>
      </c>
      <c r="S607">
        <f t="shared" si="62"/>
        <v>19800.88896</v>
      </c>
      <c r="T607">
        <f t="shared" si="63"/>
        <v>10363.120000000001</v>
      </c>
      <c r="U607">
        <f t="shared" si="64"/>
        <v>9437.7689599999994</v>
      </c>
      <c r="V607">
        <f t="shared" si="65"/>
        <v>0.47663359857556614</v>
      </c>
    </row>
    <row r="608" spans="1:22" x14ac:dyDescent="0.25">
      <c r="A608" t="s">
        <v>58</v>
      </c>
      <c r="B608" s="14">
        <v>45806</v>
      </c>
      <c r="C608" s="14">
        <v>45828</v>
      </c>
      <c r="D608" s="7">
        <f t="shared" si="66"/>
        <v>22</v>
      </c>
      <c r="E608" s="5" t="str">
        <f t="shared" si="67"/>
        <v>Q2</v>
      </c>
      <c r="F608" t="s">
        <v>649</v>
      </c>
      <c r="G608" t="s">
        <v>656</v>
      </c>
      <c r="H608" t="s">
        <v>671</v>
      </c>
      <c r="I608" t="s">
        <v>701</v>
      </c>
      <c r="J608" t="s">
        <v>709</v>
      </c>
      <c r="K608" t="s">
        <v>720</v>
      </c>
      <c r="L608" t="s">
        <v>728</v>
      </c>
      <c r="M608">
        <f t="shared" si="68"/>
        <v>9.6986339422514306E-2</v>
      </c>
      <c r="N608" t="s">
        <v>777</v>
      </c>
      <c r="O608" s="7">
        <v>483.47</v>
      </c>
      <c r="P608" s="7">
        <v>1135.43</v>
      </c>
      <c r="Q608" s="12">
        <v>0.14599999999999999</v>
      </c>
      <c r="R608">
        <v>11</v>
      </c>
      <c r="S608">
        <f t="shared" si="62"/>
        <v>10666.229420000001</v>
      </c>
      <c r="T608">
        <f t="shared" si="63"/>
        <v>5318.17</v>
      </c>
      <c r="U608">
        <f t="shared" si="64"/>
        <v>5348.0594200000014</v>
      </c>
      <c r="V608">
        <f t="shared" si="65"/>
        <v>0.50140112399719983</v>
      </c>
    </row>
    <row r="609" spans="1:22" x14ac:dyDescent="0.25">
      <c r="A609" t="s">
        <v>69</v>
      </c>
      <c r="B609" s="14">
        <v>45168</v>
      </c>
      <c r="C609" s="14">
        <v>45170</v>
      </c>
      <c r="D609" s="7">
        <f t="shared" si="66"/>
        <v>2</v>
      </c>
      <c r="E609" s="5" t="str">
        <f t="shared" si="67"/>
        <v>Q3</v>
      </c>
      <c r="F609" t="s">
        <v>649</v>
      </c>
      <c r="G609" t="s">
        <v>656</v>
      </c>
      <c r="H609" t="s">
        <v>684</v>
      </c>
      <c r="I609" t="s">
        <v>701</v>
      </c>
      <c r="J609" t="s">
        <v>707</v>
      </c>
      <c r="K609" t="s">
        <v>725</v>
      </c>
      <c r="L609" t="s">
        <v>729</v>
      </c>
      <c r="M609">
        <f t="shared" si="68"/>
        <v>1.956765061367112E-3</v>
      </c>
      <c r="N609" t="s">
        <v>788</v>
      </c>
      <c r="O609" s="7">
        <v>44.42</v>
      </c>
      <c r="P609" s="7">
        <v>41.9</v>
      </c>
      <c r="Q609" s="12">
        <v>0.14399999999999999</v>
      </c>
      <c r="R609">
        <v>6</v>
      </c>
      <c r="S609">
        <f t="shared" si="62"/>
        <v>215.19839999999996</v>
      </c>
      <c r="T609">
        <f t="shared" si="63"/>
        <v>266.52</v>
      </c>
      <c r="U609">
        <f t="shared" si="64"/>
        <v>-51.321600000000018</v>
      </c>
      <c r="V609">
        <f t="shared" si="65"/>
        <v>-0.23848504449847224</v>
      </c>
    </row>
    <row r="610" spans="1:22" x14ac:dyDescent="0.25">
      <c r="A610" t="s">
        <v>287</v>
      </c>
      <c r="B610" s="14">
        <v>45382</v>
      </c>
      <c r="C610" s="14">
        <v>45399</v>
      </c>
      <c r="D610" s="7">
        <f t="shared" si="66"/>
        <v>17</v>
      </c>
      <c r="E610" s="5" t="str">
        <f t="shared" si="67"/>
        <v>Q1</v>
      </c>
      <c r="F610" t="s">
        <v>649</v>
      </c>
      <c r="G610" t="s">
        <v>656</v>
      </c>
      <c r="H610" t="s">
        <v>698</v>
      </c>
      <c r="I610" t="s">
        <v>702</v>
      </c>
      <c r="J610" t="s">
        <v>710</v>
      </c>
      <c r="K610" t="s">
        <v>722</v>
      </c>
      <c r="L610" t="s">
        <v>732</v>
      </c>
      <c r="M610">
        <f t="shared" si="68"/>
        <v>0.31490427274797189</v>
      </c>
      <c r="N610" t="s">
        <v>1006</v>
      </c>
      <c r="O610" s="7">
        <v>1025.51</v>
      </c>
      <c r="P610" s="7">
        <v>1436.54</v>
      </c>
      <c r="Q610" s="12">
        <v>0.13900000000000001</v>
      </c>
      <c r="R610">
        <v>28</v>
      </c>
      <c r="S610">
        <f t="shared" si="62"/>
        <v>34632.106319999999</v>
      </c>
      <c r="T610">
        <f t="shared" si="63"/>
        <v>28714.28</v>
      </c>
      <c r="U610">
        <f t="shared" si="64"/>
        <v>5917.8263200000001</v>
      </c>
      <c r="V610">
        <f t="shared" si="65"/>
        <v>0.17087688127656453</v>
      </c>
    </row>
    <row r="611" spans="1:22" x14ac:dyDescent="0.25">
      <c r="A611" t="s">
        <v>486</v>
      </c>
      <c r="B611" s="14">
        <v>45167</v>
      </c>
      <c r="C611" s="14">
        <v>45188</v>
      </c>
      <c r="D611" s="7">
        <f t="shared" si="66"/>
        <v>21</v>
      </c>
      <c r="E611" s="5" t="str">
        <f t="shared" si="67"/>
        <v>Q3</v>
      </c>
      <c r="F611" t="s">
        <v>649</v>
      </c>
      <c r="G611" t="s">
        <v>657</v>
      </c>
      <c r="H611" t="s">
        <v>679</v>
      </c>
      <c r="I611" t="s">
        <v>705</v>
      </c>
      <c r="J611" t="s">
        <v>708</v>
      </c>
      <c r="K611" t="s">
        <v>717</v>
      </c>
      <c r="L611" t="s">
        <v>728</v>
      </c>
      <c r="M611">
        <f t="shared" si="68"/>
        <v>0.33233818740695487</v>
      </c>
      <c r="N611" t="s">
        <v>1204</v>
      </c>
      <c r="O611" s="7">
        <v>784.46</v>
      </c>
      <c r="P611" s="7">
        <v>1843.51</v>
      </c>
      <c r="Q611" s="12">
        <v>0.13800000000000001</v>
      </c>
      <c r="R611">
        <v>23</v>
      </c>
      <c r="S611">
        <f t="shared" si="62"/>
        <v>36549.429260000004</v>
      </c>
      <c r="T611">
        <f t="shared" si="63"/>
        <v>18042.580000000002</v>
      </c>
      <c r="U611">
        <f t="shared" si="64"/>
        <v>18506.849260000003</v>
      </c>
      <c r="V611">
        <f t="shared" si="65"/>
        <v>0.50635125184441798</v>
      </c>
    </row>
    <row r="612" spans="1:22" x14ac:dyDescent="0.25">
      <c r="A612" t="s">
        <v>593</v>
      </c>
      <c r="B612" s="14">
        <v>45092</v>
      </c>
      <c r="C612" s="14">
        <v>45119</v>
      </c>
      <c r="D612" s="7">
        <f t="shared" si="66"/>
        <v>27</v>
      </c>
      <c r="E612" s="5" t="str">
        <f t="shared" si="67"/>
        <v>Q2</v>
      </c>
      <c r="F612" t="s">
        <v>649</v>
      </c>
      <c r="G612" t="s">
        <v>658</v>
      </c>
      <c r="H612" t="s">
        <v>693</v>
      </c>
      <c r="I612" t="s">
        <v>704</v>
      </c>
      <c r="J612" t="s">
        <v>711</v>
      </c>
      <c r="K612" t="s">
        <v>714</v>
      </c>
      <c r="L612" t="s">
        <v>733</v>
      </c>
      <c r="M612">
        <f t="shared" si="68"/>
        <v>6.1216953541945472E-2</v>
      </c>
      <c r="N612" t="s">
        <v>1310</v>
      </c>
      <c r="O612" s="7">
        <v>751.28</v>
      </c>
      <c r="P612" s="7">
        <v>1111.8800000000001</v>
      </c>
      <c r="Q612" s="12">
        <v>0.13500000000000001</v>
      </c>
      <c r="R612">
        <v>7</v>
      </c>
      <c r="S612">
        <f t="shared" si="62"/>
        <v>6732.4334000000008</v>
      </c>
      <c r="T612">
        <f t="shared" si="63"/>
        <v>5258.96</v>
      </c>
      <c r="U612">
        <f t="shared" si="64"/>
        <v>1473.4734000000008</v>
      </c>
      <c r="V612">
        <f t="shared" si="65"/>
        <v>0.21886193482433863</v>
      </c>
    </row>
    <row r="613" spans="1:22" x14ac:dyDescent="0.25">
      <c r="A613" t="s">
        <v>379</v>
      </c>
      <c r="B613" s="14">
        <v>45082</v>
      </c>
      <c r="C613" s="14">
        <v>45105</v>
      </c>
      <c r="D613" s="7">
        <f t="shared" si="66"/>
        <v>23</v>
      </c>
      <c r="E613" s="5" t="str">
        <f t="shared" si="67"/>
        <v>Q2</v>
      </c>
      <c r="F613" t="s">
        <v>649</v>
      </c>
      <c r="G613" t="s">
        <v>658</v>
      </c>
      <c r="H613" t="s">
        <v>674</v>
      </c>
      <c r="I613" t="s">
        <v>701</v>
      </c>
      <c r="J613" t="s">
        <v>708</v>
      </c>
      <c r="K613" t="s">
        <v>723</v>
      </c>
      <c r="L613" t="s">
        <v>728</v>
      </c>
      <c r="M613">
        <f t="shared" si="68"/>
        <v>0.11563650063202262</v>
      </c>
      <c r="N613" t="s">
        <v>1098</v>
      </c>
      <c r="O613" s="7">
        <v>605.82000000000005</v>
      </c>
      <c r="P613" s="7">
        <v>771.12</v>
      </c>
      <c r="Q613" s="12">
        <v>0.13200000000000001</v>
      </c>
      <c r="R613">
        <v>19</v>
      </c>
      <c r="S613">
        <f t="shared" si="62"/>
        <v>12717.311040000001</v>
      </c>
      <c r="T613">
        <f t="shared" si="63"/>
        <v>11510.580000000002</v>
      </c>
      <c r="U613">
        <f t="shared" si="64"/>
        <v>1206.7310399999988</v>
      </c>
      <c r="V613">
        <f t="shared" si="65"/>
        <v>9.4888851597986767E-2</v>
      </c>
    </row>
    <row r="614" spans="1:22" x14ac:dyDescent="0.25">
      <c r="A614" t="s">
        <v>473</v>
      </c>
      <c r="B614" s="14">
        <v>45260</v>
      </c>
      <c r="C614" s="14">
        <v>45270</v>
      </c>
      <c r="D614" s="7">
        <f t="shared" si="66"/>
        <v>10</v>
      </c>
      <c r="E614" s="5" t="str">
        <f t="shared" si="67"/>
        <v>Q4</v>
      </c>
      <c r="F614" t="s">
        <v>649</v>
      </c>
      <c r="G614" t="s">
        <v>656</v>
      </c>
      <c r="H614" t="s">
        <v>684</v>
      </c>
      <c r="I614" t="s">
        <v>705</v>
      </c>
      <c r="J614" t="s">
        <v>707</v>
      </c>
      <c r="K614" t="s">
        <v>721</v>
      </c>
      <c r="L614" t="s">
        <v>731</v>
      </c>
      <c r="M614">
        <f t="shared" si="68"/>
        <v>6.9499001418087222E-2</v>
      </c>
      <c r="N614" t="s">
        <v>1191</v>
      </c>
      <c r="O614" s="7">
        <v>174.74</v>
      </c>
      <c r="P614" s="7">
        <v>415.96</v>
      </c>
      <c r="Q614" s="12">
        <v>0.125</v>
      </c>
      <c r="R614">
        <v>21</v>
      </c>
      <c r="S614">
        <f t="shared" si="62"/>
        <v>7643.2649999999994</v>
      </c>
      <c r="T614">
        <f t="shared" si="63"/>
        <v>3669.54</v>
      </c>
      <c r="U614">
        <f t="shared" si="64"/>
        <v>3973.7249999999995</v>
      </c>
      <c r="V614">
        <f t="shared" si="65"/>
        <v>0.51989889137691803</v>
      </c>
    </row>
    <row r="615" spans="1:22" x14ac:dyDescent="0.25">
      <c r="A615" t="s">
        <v>135</v>
      </c>
      <c r="B615" s="14">
        <v>45827</v>
      </c>
      <c r="C615" s="14">
        <v>45850</v>
      </c>
      <c r="D615" s="7">
        <f t="shared" si="66"/>
        <v>23</v>
      </c>
      <c r="E615" s="5" t="str">
        <f t="shared" si="67"/>
        <v>Q2</v>
      </c>
      <c r="F615" t="s">
        <v>649</v>
      </c>
      <c r="G615" t="s">
        <v>658</v>
      </c>
      <c r="H615" t="s">
        <v>1430</v>
      </c>
      <c r="I615" t="s">
        <v>703</v>
      </c>
      <c r="J615" t="s">
        <v>707</v>
      </c>
      <c r="K615" t="s">
        <v>1430</v>
      </c>
      <c r="L615" t="s">
        <v>729</v>
      </c>
      <c r="M615">
        <f t="shared" si="68"/>
        <v>0.35932006077754536</v>
      </c>
      <c r="N615" t="s">
        <v>854</v>
      </c>
      <c r="O615" s="7">
        <v>801.24</v>
      </c>
      <c r="P615" s="7">
        <v>1959.09</v>
      </c>
      <c r="Q615" s="12">
        <v>0.123</v>
      </c>
      <c r="R615">
        <v>23</v>
      </c>
      <c r="S615">
        <f t="shared" si="62"/>
        <v>39516.804389999998</v>
      </c>
      <c r="T615">
        <f t="shared" si="63"/>
        <v>18428.52</v>
      </c>
      <c r="U615">
        <f t="shared" si="64"/>
        <v>21088.284389999997</v>
      </c>
      <c r="V615">
        <f t="shared" si="65"/>
        <v>0.53365358650651762</v>
      </c>
    </row>
    <row r="616" spans="1:22" x14ac:dyDescent="0.25">
      <c r="A616" t="s">
        <v>590</v>
      </c>
      <c r="B616" s="14">
        <v>45042</v>
      </c>
      <c r="C616" s="14">
        <v>45042</v>
      </c>
      <c r="D616" s="7">
        <f t="shared" si="66"/>
        <v>0</v>
      </c>
      <c r="E616" s="5" t="str">
        <f t="shared" si="67"/>
        <v>Q2</v>
      </c>
      <c r="F616" t="s">
        <v>649</v>
      </c>
      <c r="G616" t="s">
        <v>657</v>
      </c>
      <c r="H616" t="s">
        <v>673</v>
      </c>
      <c r="I616" t="s">
        <v>704</v>
      </c>
      <c r="J616" t="s">
        <v>710</v>
      </c>
      <c r="K616" t="s">
        <v>724</v>
      </c>
      <c r="L616" t="s">
        <v>727</v>
      </c>
      <c r="M616">
        <f t="shared" si="68"/>
        <v>4.5190206565087496E-3</v>
      </c>
      <c r="N616" t="s">
        <v>1307</v>
      </c>
      <c r="O616" s="7">
        <v>81.489999999999995</v>
      </c>
      <c r="P616" s="7">
        <v>113.08</v>
      </c>
      <c r="Q616" s="12">
        <v>0.121</v>
      </c>
      <c r="R616">
        <v>5</v>
      </c>
      <c r="S616">
        <f t="shared" si="62"/>
        <v>496.98660000000001</v>
      </c>
      <c r="T616">
        <f t="shared" si="63"/>
        <v>407.45</v>
      </c>
      <c r="U616">
        <f t="shared" si="64"/>
        <v>89.536600000000021</v>
      </c>
      <c r="V616">
        <f t="shared" si="65"/>
        <v>0.18015898215364362</v>
      </c>
    </row>
    <row r="617" spans="1:22" x14ac:dyDescent="0.25">
      <c r="A617" t="s">
        <v>75</v>
      </c>
      <c r="B617" s="14">
        <v>45361</v>
      </c>
      <c r="C617" s="14">
        <v>45391</v>
      </c>
      <c r="D617" s="7">
        <f t="shared" si="66"/>
        <v>30</v>
      </c>
      <c r="E617" s="5" t="str">
        <f t="shared" si="67"/>
        <v>Q1</v>
      </c>
      <c r="F617" t="s">
        <v>649</v>
      </c>
      <c r="G617" t="s">
        <v>657</v>
      </c>
      <c r="H617" t="s">
        <v>679</v>
      </c>
      <c r="I617" t="s">
        <v>701</v>
      </c>
      <c r="J617" t="s">
        <v>709</v>
      </c>
      <c r="K617" t="s">
        <v>714</v>
      </c>
      <c r="L617" t="s">
        <v>727</v>
      </c>
      <c r="M617">
        <f t="shared" si="68"/>
        <v>0.30631513304458452</v>
      </c>
      <c r="N617" t="s">
        <v>794</v>
      </c>
      <c r="O617" s="7">
        <v>1176.56</v>
      </c>
      <c r="P617" s="7">
        <v>1911.89</v>
      </c>
      <c r="Q617" s="12">
        <v>0.11899999999999999</v>
      </c>
      <c r="R617">
        <v>20</v>
      </c>
      <c r="S617">
        <f t="shared" si="62"/>
        <v>33687.501800000005</v>
      </c>
      <c r="T617">
        <f t="shared" si="63"/>
        <v>23531.199999999997</v>
      </c>
      <c r="U617">
        <f t="shared" si="64"/>
        <v>10156.301800000008</v>
      </c>
      <c r="V617">
        <f t="shared" si="65"/>
        <v>0.30148575160892477</v>
      </c>
    </row>
    <row r="618" spans="1:22" x14ac:dyDescent="0.25">
      <c r="A618" t="s">
        <v>366</v>
      </c>
      <c r="B618" s="14">
        <v>45262</v>
      </c>
      <c r="C618" s="14">
        <v>45276</v>
      </c>
      <c r="D618" s="7">
        <f t="shared" si="66"/>
        <v>14</v>
      </c>
      <c r="E618" s="5" t="str">
        <f t="shared" si="67"/>
        <v>Q4</v>
      </c>
      <c r="F618" t="s">
        <v>649</v>
      </c>
      <c r="G618" t="s">
        <v>656</v>
      </c>
      <c r="H618" t="s">
        <v>698</v>
      </c>
      <c r="I618" t="s">
        <v>702</v>
      </c>
      <c r="J618" t="s">
        <v>707</v>
      </c>
      <c r="K618" t="s">
        <v>725</v>
      </c>
      <c r="L618" t="s">
        <v>732</v>
      </c>
      <c r="M618">
        <f t="shared" si="68"/>
        <v>0.14991575837649448</v>
      </c>
      <c r="N618" t="s">
        <v>1085</v>
      </c>
      <c r="O618" s="7">
        <v>879.08</v>
      </c>
      <c r="P618" s="7">
        <v>1093.3900000000001</v>
      </c>
      <c r="Q618" s="12">
        <v>0.113</v>
      </c>
      <c r="R618">
        <v>17</v>
      </c>
      <c r="S618">
        <f t="shared" si="62"/>
        <v>16487.22781</v>
      </c>
      <c r="T618">
        <f t="shared" si="63"/>
        <v>14944.36</v>
      </c>
      <c r="U618">
        <f t="shared" si="64"/>
        <v>1542.8678099999997</v>
      </c>
      <c r="V618">
        <f t="shared" si="65"/>
        <v>9.3579577341935186E-2</v>
      </c>
    </row>
    <row r="619" spans="1:22" x14ac:dyDescent="0.25">
      <c r="A619" t="s">
        <v>406</v>
      </c>
      <c r="B619" s="14">
        <v>45514</v>
      </c>
      <c r="C619" s="14">
        <v>45542</v>
      </c>
      <c r="D619" s="7">
        <f t="shared" si="66"/>
        <v>28</v>
      </c>
      <c r="E619" s="5" t="str">
        <f t="shared" si="67"/>
        <v>Q3</v>
      </c>
      <c r="F619" t="s">
        <v>649</v>
      </c>
      <c r="G619" t="s">
        <v>657</v>
      </c>
      <c r="H619" t="s">
        <v>673</v>
      </c>
      <c r="I619" t="s">
        <v>703</v>
      </c>
      <c r="J619" t="s">
        <v>708</v>
      </c>
      <c r="K619" t="s">
        <v>721</v>
      </c>
      <c r="L619" t="s">
        <v>728</v>
      </c>
      <c r="M619">
        <f t="shared" si="68"/>
        <v>2.2960003580571955E-2</v>
      </c>
      <c r="N619" t="s">
        <v>1124</v>
      </c>
      <c r="O619" s="7">
        <v>229.96</v>
      </c>
      <c r="P619" s="7">
        <v>564.26</v>
      </c>
      <c r="Q619" s="12">
        <v>0.105</v>
      </c>
      <c r="R619">
        <v>5</v>
      </c>
      <c r="S619">
        <f t="shared" si="62"/>
        <v>2525.0635000000002</v>
      </c>
      <c r="T619">
        <f t="shared" si="63"/>
        <v>1149.8</v>
      </c>
      <c r="U619">
        <f t="shared" si="64"/>
        <v>1375.2635000000002</v>
      </c>
      <c r="V619">
        <f t="shared" si="65"/>
        <v>0.54464511486542821</v>
      </c>
    </row>
    <row r="620" spans="1:22" x14ac:dyDescent="0.25">
      <c r="A620" t="s">
        <v>150</v>
      </c>
      <c r="B620" s="14">
        <v>45028</v>
      </c>
      <c r="C620" s="14">
        <v>45033</v>
      </c>
      <c r="D620" s="7">
        <f t="shared" si="66"/>
        <v>5</v>
      </c>
      <c r="E620" s="5" t="str">
        <f t="shared" si="67"/>
        <v>Q2</v>
      </c>
      <c r="F620" t="s">
        <v>649</v>
      </c>
      <c r="G620" t="s">
        <v>657</v>
      </c>
      <c r="H620" t="s">
        <v>679</v>
      </c>
      <c r="I620" t="s">
        <v>706</v>
      </c>
      <c r="J620" t="s">
        <v>707</v>
      </c>
      <c r="K620" t="s">
        <v>718</v>
      </c>
      <c r="L620" t="s">
        <v>732</v>
      </c>
      <c r="M620">
        <f t="shared" si="68"/>
        <v>0.24887600495900039</v>
      </c>
      <c r="N620" t="s">
        <v>869</v>
      </c>
      <c r="O620" s="7">
        <v>1087.81</v>
      </c>
      <c r="P620" s="7">
        <v>2323.87</v>
      </c>
      <c r="Q620" s="12">
        <v>9.4E-2</v>
      </c>
      <c r="R620">
        <v>13</v>
      </c>
      <c r="S620">
        <f t="shared" si="62"/>
        <v>27370.540859999997</v>
      </c>
      <c r="T620">
        <f t="shared" si="63"/>
        <v>14141.529999999999</v>
      </c>
      <c r="U620">
        <f t="shared" si="64"/>
        <v>13229.010859999999</v>
      </c>
      <c r="V620">
        <f t="shared" si="65"/>
        <v>0.48333026839572651</v>
      </c>
    </row>
    <row r="621" spans="1:22" x14ac:dyDescent="0.25">
      <c r="A621" t="s">
        <v>206</v>
      </c>
      <c r="B621" s="14">
        <v>45146</v>
      </c>
      <c r="C621" s="14">
        <v>45160</v>
      </c>
      <c r="D621" s="7">
        <f t="shared" si="66"/>
        <v>14</v>
      </c>
      <c r="E621" s="5" t="str">
        <f t="shared" si="67"/>
        <v>Q3</v>
      </c>
      <c r="F621" t="s">
        <v>649</v>
      </c>
      <c r="G621" t="s">
        <v>658</v>
      </c>
      <c r="H621" t="s">
        <v>674</v>
      </c>
      <c r="I621" t="s">
        <v>703</v>
      </c>
      <c r="J621" t="s">
        <v>709</v>
      </c>
      <c r="K621" t="s">
        <v>725</v>
      </c>
      <c r="L621" t="s">
        <v>732</v>
      </c>
      <c r="M621">
        <f t="shared" si="68"/>
        <v>7.9683166374854536E-2</v>
      </c>
      <c r="N621" t="s">
        <v>925</v>
      </c>
      <c r="O621" s="7">
        <v>446.69</v>
      </c>
      <c r="P621" s="7">
        <v>967.25</v>
      </c>
      <c r="Q621" s="12">
        <v>9.4E-2</v>
      </c>
      <c r="R621">
        <v>10</v>
      </c>
      <c r="S621">
        <f t="shared" si="62"/>
        <v>8763.2849999999999</v>
      </c>
      <c r="T621">
        <f t="shared" si="63"/>
        <v>4466.8999999999996</v>
      </c>
      <c r="U621">
        <f t="shared" si="64"/>
        <v>4296.3850000000002</v>
      </c>
      <c r="V621">
        <f t="shared" si="65"/>
        <v>0.49027105702941309</v>
      </c>
    </row>
    <row r="622" spans="1:22" x14ac:dyDescent="0.25">
      <c r="A622" t="s">
        <v>491</v>
      </c>
      <c r="B622" s="14">
        <v>45422</v>
      </c>
      <c r="C622" s="14">
        <v>45428</v>
      </c>
      <c r="D622" s="7">
        <f t="shared" si="66"/>
        <v>6</v>
      </c>
      <c r="E622" s="5" t="str">
        <f t="shared" si="67"/>
        <v>Q2</v>
      </c>
      <c r="F622" t="s">
        <v>649</v>
      </c>
      <c r="G622" t="s">
        <v>658</v>
      </c>
      <c r="H622" t="s">
        <v>674</v>
      </c>
      <c r="I622" t="s">
        <v>703</v>
      </c>
      <c r="J622" t="s">
        <v>709</v>
      </c>
      <c r="K622" t="s">
        <v>715</v>
      </c>
      <c r="L622" t="s">
        <v>731</v>
      </c>
      <c r="M622">
        <f t="shared" si="68"/>
        <v>9.1773772967928043E-3</v>
      </c>
      <c r="N622" t="s">
        <v>1209</v>
      </c>
      <c r="O622" s="7">
        <v>210.76</v>
      </c>
      <c r="P622" s="7">
        <v>221.58</v>
      </c>
      <c r="Q622" s="12">
        <v>8.8999999999999996E-2</v>
      </c>
      <c r="R622">
        <v>5</v>
      </c>
      <c r="S622">
        <f t="shared" si="62"/>
        <v>1009.2969000000002</v>
      </c>
      <c r="T622">
        <f t="shared" si="63"/>
        <v>1053.8</v>
      </c>
      <c r="U622">
        <f t="shared" si="64"/>
        <v>-44.50309999999979</v>
      </c>
      <c r="V622">
        <f t="shared" si="65"/>
        <v>-4.4093170205912434E-2</v>
      </c>
    </row>
    <row r="623" spans="1:22" x14ac:dyDescent="0.25">
      <c r="A623" t="s">
        <v>324</v>
      </c>
      <c r="B623" s="14">
        <v>44936</v>
      </c>
      <c r="C623" s="14">
        <v>44955</v>
      </c>
      <c r="D623" s="7">
        <f t="shared" si="66"/>
        <v>19</v>
      </c>
      <c r="E623" s="5" t="str">
        <f t="shared" si="67"/>
        <v>Q1</v>
      </c>
      <c r="F623" t="s">
        <v>649</v>
      </c>
      <c r="G623" t="s">
        <v>657</v>
      </c>
      <c r="H623" t="s">
        <v>679</v>
      </c>
      <c r="I623" t="s">
        <v>703</v>
      </c>
      <c r="J623" t="s">
        <v>710</v>
      </c>
      <c r="K623" t="s">
        <v>726</v>
      </c>
      <c r="L623" t="s">
        <v>731</v>
      </c>
      <c r="M623">
        <f t="shared" si="68"/>
        <v>8.9539360338596066E-2</v>
      </c>
      <c r="N623" t="s">
        <v>1043</v>
      </c>
      <c r="O623" s="7">
        <v>401.66</v>
      </c>
      <c r="P623" s="7">
        <v>772.09</v>
      </c>
      <c r="Q623" s="12">
        <v>8.8999999999999996E-2</v>
      </c>
      <c r="R623">
        <v>14</v>
      </c>
      <c r="S623">
        <f t="shared" si="62"/>
        <v>9847.2358600000007</v>
      </c>
      <c r="T623">
        <f t="shared" si="63"/>
        <v>5623.2400000000007</v>
      </c>
      <c r="U623">
        <f t="shared" si="64"/>
        <v>4223.99586</v>
      </c>
      <c r="V623">
        <f t="shared" si="65"/>
        <v>0.42895244107619046</v>
      </c>
    </row>
    <row r="624" spans="1:22" x14ac:dyDescent="0.25">
      <c r="A624" t="s">
        <v>604</v>
      </c>
      <c r="B624" s="14">
        <v>45703</v>
      </c>
      <c r="C624" s="14">
        <v>45715</v>
      </c>
      <c r="D624" s="7">
        <f t="shared" si="66"/>
        <v>12</v>
      </c>
      <c r="E624" s="5" t="str">
        <f t="shared" si="67"/>
        <v>Q1</v>
      </c>
      <c r="F624" t="s">
        <v>649</v>
      </c>
      <c r="G624" t="s">
        <v>657</v>
      </c>
      <c r="H624" t="s">
        <v>679</v>
      </c>
      <c r="I624" t="s">
        <v>703</v>
      </c>
      <c r="J624" t="s">
        <v>709</v>
      </c>
      <c r="K624" t="s">
        <v>723</v>
      </c>
      <c r="L624" t="s">
        <v>733</v>
      </c>
      <c r="M624">
        <f t="shared" si="68"/>
        <v>0.10948366974992529</v>
      </c>
      <c r="N624" t="s">
        <v>1321</v>
      </c>
      <c r="O624" s="7">
        <v>1027.26</v>
      </c>
      <c r="P624" s="7">
        <v>2200.41</v>
      </c>
      <c r="Q624" s="12">
        <v>8.7999999999999995E-2</v>
      </c>
      <c r="R624">
        <v>6</v>
      </c>
      <c r="S624">
        <f t="shared" si="62"/>
        <v>12040.64352</v>
      </c>
      <c r="T624">
        <f t="shared" si="63"/>
        <v>6163.5599999999995</v>
      </c>
      <c r="U624">
        <f t="shared" si="64"/>
        <v>5877.0835200000001</v>
      </c>
      <c r="V624">
        <f t="shared" si="65"/>
        <v>0.48810377204822358</v>
      </c>
    </row>
    <row r="625" spans="1:22" x14ac:dyDescent="0.25">
      <c r="A625" t="s">
        <v>609</v>
      </c>
      <c r="B625" s="14">
        <v>45823</v>
      </c>
      <c r="C625" s="14">
        <v>45850</v>
      </c>
      <c r="D625" s="7">
        <f t="shared" si="66"/>
        <v>27</v>
      </c>
      <c r="E625" s="5" t="str">
        <f t="shared" si="67"/>
        <v>Q2</v>
      </c>
      <c r="F625" t="s">
        <v>649</v>
      </c>
      <c r="G625" t="s">
        <v>657</v>
      </c>
      <c r="H625" t="s">
        <v>673</v>
      </c>
      <c r="I625" t="s">
        <v>704</v>
      </c>
      <c r="J625" t="s">
        <v>709</v>
      </c>
      <c r="K625" t="s">
        <v>712</v>
      </c>
      <c r="L625" t="s">
        <v>733</v>
      </c>
      <c r="M625">
        <f t="shared" si="68"/>
        <v>7.6070898476468654E-2</v>
      </c>
      <c r="N625" t="s">
        <v>1326</v>
      </c>
      <c r="O625" s="7">
        <v>318.83</v>
      </c>
      <c r="P625" s="7">
        <v>699.5</v>
      </c>
      <c r="Q625" s="12">
        <v>0.08</v>
      </c>
      <c r="R625">
        <v>13</v>
      </c>
      <c r="S625">
        <f t="shared" si="62"/>
        <v>8366.02</v>
      </c>
      <c r="T625">
        <f t="shared" si="63"/>
        <v>4144.79</v>
      </c>
      <c r="U625">
        <f t="shared" si="64"/>
        <v>4221.2300000000005</v>
      </c>
      <c r="V625">
        <f t="shared" si="65"/>
        <v>0.50456848059172699</v>
      </c>
    </row>
    <row r="626" spans="1:22" x14ac:dyDescent="0.25">
      <c r="A626" t="s">
        <v>136</v>
      </c>
      <c r="B626" s="14">
        <v>45249</v>
      </c>
      <c r="C626" s="14">
        <v>45273</v>
      </c>
      <c r="D626" s="7">
        <f t="shared" si="66"/>
        <v>24</v>
      </c>
      <c r="E626" s="5" t="str">
        <f t="shared" si="67"/>
        <v>Q4</v>
      </c>
      <c r="F626" t="s">
        <v>649</v>
      </c>
      <c r="G626" t="s">
        <v>657</v>
      </c>
      <c r="H626" t="s">
        <v>679</v>
      </c>
      <c r="I626" t="s">
        <v>703</v>
      </c>
      <c r="J626" t="s">
        <v>708</v>
      </c>
      <c r="K626" t="s">
        <v>722</v>
      </c>
      <c r="L626" t="s">
        <v>732</v>
      </c>
      <c r="M626">
        <f t="shared" si="68"/>
        <v>0.2089839316747174</v>
      </c>
      <c r="N626" t="s">
        <v>855</v>
      </c>
      <c r="O626" s="7">
        <v>1297.42</v>
      </c>
      <c r="P626" s="7">
        <v>2742.97</v>
      </c>
      <c r="Q626" s="12">
        <v>6.9000000000000006E-2</v>
      </c>
      <c r="R626">
        <v>9</v>
      </c>
      <c r="S626">
        <f t="shared" si="62"/>
        <v>22983.34563</v>
      </c>
      <c r="T626">
        <f t="shared" si="63"/>
        <v>11676.78</v>
      </c>
      <c r="U626">
        <f t="shared" si="64"/>
        <v>11306.565629999999</v>
      </c>
      <c r="V626">
        <f t="shared" si="65"/>
        <v>0.49194602961727291</v>
      </c>
    </row>
    <row r="627" spans="1:22" x14ac:dyDescent="0.25">
      <c r="A627" t="s">
        <v>180</v>
      </c>
      <c r="B627" s="14">
        <v>44976</v>
      </c>
      <c r="C627" s="14">
        <v>44997</v>
      </c>
      <c r="D627" s="7">
        <f t="shared" si="66"/>
        <v>21</v>
      </c>
      <c r="E627" s="5" t="str">
        <f t="shared" si="67"/>
        <v>Q1</v>
      </c>
      <c r="F627" t="s">
        <v>649</v>
      </c>
      <c r="G627" t="s">
        <v>656</v>
      </c>
      <c r="H627" t="s">
        <v>671</v>
      </c>
      <c r="I627" t="s">
        <v>705</v>
      </c>
      <c r="J627" t="s">
        <v>710</v>
      </c>
      <c r="K627" t="s">
        <v>716</v>
      </c>
      <c r="L627" t="s">
        <v>732</v>
      </c>
      <c r="M627">
        <f t="shared" si="68"/>
        <v>0.77869044654888531</v>
      </c>
      <c r="N627" t="s">
        <v>899</v>
      </c>
      <c r="O627" s="7">
        <v>1234.81</v>
      </c>
      <c r="P627" s="7">
        <v>2055.2399999999998</v>
      </c>
      <c r="Q627" s="12">
        <v>5.2999999999999999E-2</v>
      </c>
      <c r="R627">
        <v>44</v>
      </c>
      <c r="S627">
        <f t="shared" si="62"/>
        <v>85637.740319999997</v>
      </c>
      <c r="T627">
        <f t="shared" si="63"/>
        <v>54331.64</v>
      </c>
      <c r="U627">
        <f t="shared" si="64"/>
        <v>31306.100319999998</v>
      </c>
      <c r="V627">
        <f t="shared" si="65"/>
        <v>0.36556429680441616</v>
      </c>
    </row>
    <row r="628" spans="1:22" x14ac:dyDescent="0.25">
      <c r="A628" t="s">
        <v>55</v>
      </c>
      <c r="B628" s="14">
        <v>45531</v>
      </c>
      <c r="C628" s="14">
        <v>45554</v>
      </c>
      <c r="D628" s="7">
        <f t="shared" si="66"/>
        <v>23</v>
      </c>
      <c r="E628" s="5" t="str">
        <f t="shared" si="67"/>
        <v>Q3</v>
      </c>
      <c r="F628" t="s">
        <v>649</v>
      </c>
      <c r="G628" t="s">
        <v>656</v>
      </c>
      <c r="H628" t="s">
        <v>671</v>
      </c>
      <c r="I628" t="s">
        <v>705</v>
      </c>
      <c r="J628" t="s">
        <v>710</v>
      </c>
      <c r="K628" t="s">
        <v>726</v>
      </c>
      <c r="L628" t="s">
        <v>732</v>
      </c>
      <c r="M628">
        <f t="shared" si="68"/>
        <v>0.37377764854509948</v>
      </c>
      <c r="N628" t="s">
        <v>774</v>
      </c>
      <c r="O628" s="7">
        <v>1024.01</v>
      </c>
      <c r="P628" s="7">
        <v>1580.97</v>
      </c>
      <c r="Q628" s="12">
        <v>3.6999999999999998E-2</v>
      </c>
      <c r="R628">
        <v>27</v>
      </c>
      <c r="S628">
        <f t="shared" si="62"/>
        <v>41106.800970000004</v>
      </c>
      <c r="T628">
        <f t="shared" si="63"/>
        <v>27648.27</v>
      </c>
      <c r="U628">
        <f t="shared" si="64"/>
        <v>13458.530970000003</v>
      </c>
      <c r="V628">
        <f t="shared" si="65"/>
        <v>0.3274039976942531</v>
      </c>
    </row>
    <row r="629" spans="1:22" x14ac:dyDescent="0.25">
      <c r="A629" t="s">
        <v>388</v>
      </c>
      <c r="B629" s="14">
        <v>45751</v>
      </c>
      <c r="C629" s="14">
        <v>45757</v>
      </c>
      <c r="D629" s="7">
        <f t="shared" si="66"/>
        <v>6</v>
      </c>
      <c r="E629" s="5" t="str">
        <f t="shared" si="67"/>
        <v>Q2</v>
      </c>
      <c r="F629" t="s">
        <v>649</v>
      </c>
      <c r="G629" t="s">
        <v>658</v>
      </c>
      <c r="H629" t="s">
        <v>674</v>
      </c>
      <c r="I629" t="s">
        <v>703</v>
      </c>
      <c r="J629" t="s">
        <v>709</v>
      </c>
      <c r="K629" t="s">
        <v>725</v>
      </c>
      <c r="L629" t="s">
        <v>728</v>
      </c>
      <c r="M629">
        <f t="shared" si="68"/>
        <v>3.7439668586775048E-2</v>
      </c>
      <c r="N629" t="s">
        <v>1107</v>
      </c>
      <c r="O629" s="7">
        <v>290.14</v>
      </c>
      <c r="P629" s="7">
        <v>250.73</v>
      </c>
      <c r="Q629" s="12">
        <v>3.4000000000000002E-2</v>
      </c>
      <c r="R629">
        <v>17</v>
      </c>
      <c r="S629">
        <f t="shared" si="62"/>
        <v>4117.4880599999997</v>
      </c>
      <c r="T629">
        <f t="shared" si="63"/>
        <v>4932.38</v>
      </c>
      <c r="U629">
        <f t="shared" si="64"/>
        <v>-814.89194000000043</v>
      </c>
      <c r="V629">
        <f t="shared" si="65"/>
        <v>-0.19790997038131072</v>
      </c>
    </row>
    <row r="630" spans="1:22" x14ac:dyDescent="0.25">
      <c r="A630" t="s">
        <v>348</v>
      </c>
      <c r="B630" s="14">
        <v>45245</v>
      </c>
      <c r="C630" s="14">
        <v>45266</v>
      </c>
      <c r="D630" s="7">
        <f t="shared" si="66"/>
        <v>21</v>
      </c>
      <c r="E630" s="5" t="str">
        <f t="shared" si="67"/>
        <v>Q4</v>
      </c>
      <c r="F630" t="s">
        <v>649</v>
      </c>
      <c r="G630" t="s">
        <v>658</v>
      </c>
      <c r="H630" t="s">
        <v>693</v>
      </c>
      <c r="I630" t="s">
        <v>702</v>
      </c>
      <c r="J630" t="s">
        <v>708</v>
      </c>
      <c r="K630" t="s">
        <v>722</v>
      </c>
      <c r="L630" t="s">
        <v>733</v>
      </c>
      <c r="M630">
        <f t="shared" si="68"/>
        <v>5.1011684098771971E-2</v>
      </c>
      <c r="N630" t="s">
        <v>1067</v>
      </c>
      <c r="O630" s="7">
        <v>1184.99</v>
      </c>
      <c r="P630" s="7">
        <v>1154.3399999999999</v>
      </c>
      <c r="Q630" s="12">
        <v>2.8000000000000001E-2</v>
      </c>
      <c r="R630">
        <v>5</v>
      </c>
      <c r="S630">
        <f t="shared" si="62"/>
        <v>5610.0923999999995</v>
      </c>
      <c r="T630">
        <f t="shared" si="63"/>
        <v>5924.95</v>
      </c>
      <c r="U630">
        <f t="shared" si="64"/>
        <v>-314.85760000000028</v>
      </c>
      <c r="V630">
        <f t="shared" si="65"/>
        <v>-5.6123424990290764E-2</v>
      </c>
    </row>
    <row r="631" spans="1:22" x14ac:dyDescent="0.25">
      <c r="A631" t="s">
        <v>494</v>
      </c>
      <c r="B631" s="14">
        <v>45032</v>
      </c>
      <c r="C631" s="14">
        <v>45035</v>
      </c>
      <c r="D631" s="7">
        <f t="shared" si="66"/>
        <v>3</v>
      </c>
      <c r="E631" s="5" t="str">
        <f t="shared" si="67"/>
        <v>Q2</v>
      </c>
      <c r="F631" t="s">
        <v>649</v>
      </c>
      <c r="G631" t="s">
        <v>656</v>
      </c>
      <c r="H631" t="s">
        <v>684</v>
      </c>
      <c r="I631" t="s">
        <v>701</v>
      </c>
      <c r="J631" t="s">
        <v>709</v>
      </c>
      <c r="K631" t="s">
        <v>717</v>
      </c>
      <c r="L631" t="s">
        <v>733</v>
      </c>
      <c r="M631">
        <f t="shared" si="68"/>
        <v>0.20568790527589353</v>
      </c>
      <c r="N631" t="s">
        <v>1212</v>
      </c>
      <c r="O631" s="7">
        <v>553.61</v>
      </c>
      <c r="P631" s="7">
        <v>699.47</v>
      </c>
      <c r="Q631" s="12">
        <v>0.02</v>
      </c>
      <c r="R631">
        <v>33</v>
      </c>
      <c r="S631">
        <f t="shared" si="62"/>
        <v>22620.859800000002</v>
      </c>
      <c r="T631">
        <f t="shared" si="63"/>
        <v>18269.13</v>
      </c>
      <c r="U631">
        <f t="shared" si="64"/>
        <v>4351.729800000001</v>
      </c>
      <c r="V631">
        <f t="shared" si="65"/>
        <v>0.19237685209472014</v>
      </c>
    </row>
    <row r="632" spans="1:22" x14ac:dyDescent="0.25">
      <c r="A632" t="s">
        <v>162</v>
      </c>
      <c r="B632" s="14">
        <v>45386</v>
      </c>
      <c r="C632" s="14">
        <v>45406</v>
      </c>
      <c r="D632" s="7">
        <f t="shared" si="66"/>
        <v>20</v>
      </c>
      <c r="E632" s="5" t="str">
        <f t="shared" si="67"/>
        <v>Q2</v>
      </c>
      <c r="F632" t="s">
        <v>649</v>
      </c>
      <c r="G632" t="s">
        <v>656</v>
      </c>
      <c r="H632" t="s">
        <v>698</v>
      </c>
      <c r="I632" t="s">
        <v>703</v>
      </c>
      <c r="J632" t="s">
        <v>707</v>
      </c>
      <c r="K632" t="s">
        <v>719</v>
      </c>
      <c r="L632" t="s">
        <v>733</v>
      </c>
      <c r="M632">
        <f t="shared" si="68"/>
        <v>0.12112702199263514</v>
      </c>
      <c r="N632" t="s">
        <v>881</v>
      </c>
      <c r="O632" s="7">
        <v>683.42</v>
      </c>
      <c r="P632" s="7">
        <v>951.51</v>
      </c>
      <c r="Q632" s="12">
        <v>0</v>
      </c>
      <c r="R632">
        <v>14</v>
      </c>
      <c r="S632">
        <f t="shared" si="62"/>
        <v>13321.14</v>
      </c>
      <c r="T632">
        <f t="shared" si="63"/>
        <v>9567.8799999999992</v>
      </c>
      <c r="U632">
        <f t="shared" si="64"/>
        <v>3753.26</v>
      </c>
      <c r="V632">
        <f t="shared" si="65"/>
        <v>0.28175216235247136</v>
      </c>
    </row>
    <row r="633" spans="1:22" x14ac:dyDescent="0.25">
      <c r="A633" t="s">
        <v>506</v>
      </c>
      <c r="B633" s="14">
        <v>45523</v>
      </c>
      <c r="C633" s="14">
        <v>45542</v>
      </c>
      <c r="D633" s="7">
        <f t="shared" si="66"/>
        <v>19</v>
      </c>
      <c r="E633" s="5" t="str">
        <f t="shared" si="67"/>
        <v>Q3</v>
      </c>
      <c r="F633" t="s">
        <v>649</v>
      </c>
      <c r="G633" t="s">
        <v>657</v>
      </c>
      <c r="H633" t="s">
        <v>679</v>
      </c>
      <c r="I633" t="s">
        <v>701</v>
      </c>
      <c r="J633" t="s">
        <v>710</v>
      </c>
      <c r="K633" t="s">
        <v>713</v>
      </c>
      <c r="L633" t="s">
        <v>727</v>
      </c>
      <c r="M633">
        <f t="shared" si="68"/>
        <v>6.0595608728766445E-2</v>
      </c>
      <c r="N633" t="s">
        <v>1224</v>
      </c>
      <c r="O633" s="7">
        <v>297.58999999999997</v>
      </c>
      <c r="P633" s="7">
        <v>666.41</v>
      </c>
      <c r="Q633" s="12">
        <v>0</v>
      </c>
      <c r="R633">
        <v>10</v>
      </c>
      <c r="S633">
        <f t="shared" si="62"/>
        <v>6664.0999999999995</v>
      </c>
      <c r="T633">
        <f t="shared" si="63"/>
        <v>2975.8999999999996</v>
      </c>
      <c r="U633">
        <f t="shared" si="64"/>
        <v>3688.2</v>
      </c>
      <c r="V633">
        <f t="shared" si="65"/>
        <v>0.55344307558409989</v>
      </c>
    </row>
    <row r="634" spans="1:22" x14ac:dyDescent="0.25">
      <c r="M634">
        <f t="shared" si="68"/>
        <v>100</v>
      </c>
      <c r="S634">
        <f>SUM(S2:S633)</f>
        <v>10997661.612459986</v>
      </c>
    </row>
    <row r="635" spans="1:22" x14ac:dyDescent="0.25">
      <c r="M635">
        <f t="shared" si="68"/>
        <v>0</v>
      </c>
      <c r="N635" t="s">
        <v>1431</v>
      </c>
      <c r="O635" s="7">
        <f>AVERAGE(P2:P633)</f>
        <v>1311.0455379746829</v>
      </c>
    </row>
    <row r="636" spans="1:22" x14ac:dyDescent="0.25">
      <c r="M636">
        <f t="shared" si="68"/>
        <v>0</v>
      </c>
      <c r="N636" t="s">
        <v>1432</v>
      </c>
      <c r="O636" s="7">
        <f>MEDIAN(O2:O633)</f>
        <v>804.08999999999992</v>
      </c>
    </row>
  </sheetData>
  <sortState ref="A2:V636">
    <sortCondition ref="F1"/>
  </sortState>
  <conditionalFormatting sqref="A1:A1048576">
    <cfRule type="duplicateValues" dxfId="8" priority="8"/>
  </conditionalFormatting>
  <conditionalFormatting sqref="P1 P5:P1048576">
    <cfRule type="cellIs" dxfId="7" priority="7" operator="lessThan">
      <formula>0</formula>
    </cfRule>
  </conditionalFormatting>
  <conditionalFormatting sqref="O1:O1048576">
    <cfRule type="cellIs" dxfId="6" priority="6" operator="lessThan">
      <formula>0</formula>
    </cfRule>
  </conditionalFormatting>
  <conditionalFormatting sqref="P2:P4">
    <cfRule type="cellIs" dxfId="5" priority="5" operator="lessThan">
      <formula>0</formula>
    </cfRule>
  </conditionalFormatting>
  <conditionalFormatting sqref="Q1:Q1048576">
    <cfRule type="cellIs" dxfId="4" priority="4" operator="greaterThan">
      <formula>0.2825</formula>
    </cfRule>
  </conditionalFormatting>
  <conditionalFormatting sqref="P1:P1048576">
    <cfRule type="cellIs" dxfId="3" priority="3" operator="lessThan">
      <formula>0</formula>
    </cfRule>
  </conditionalFormatting>
  <conditionalFormatting sqref="C2">
    <cfRule type="cellIs" dxfId="2" priority="1" operator="greaterThan">
      <formula>$C$2</formula>
    </cfRule>
    <cfRule type="cellIs" dxfId="1" priority="2" operator="greaterThan">
      <formula>$C$2</formula>
    </cfRule>
  </conditionalFormatting>
  <conditionalFormatting sqref="B1:E1">
    <cfRule type="duplicateValues" dxfId="0" priority="11"/>
  </conditionalFormatting>
  <dataValidations count="1">
    <dataValidation type="date" operator="greaterThan" allowBlank="1" showInputMessage="1" showErrorMessage="1" sqref="B1:C1048576" xr:uid="{5FA34193-E018-4807-9B54-EC24AE59AC96}">
      <formula1>46082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41A58-7158-41D7-B532-9F2AF41C8003}">
  <dimension ref="A3:B51"/>
  <sheetViews>
    <sheetView workbookViewId="0">
      <selection activeCell="A4" sqref="A4"/>
    </sheetView>
  </sheetViews>
  <sheetFormatPr defaultRowHeight="15" x14ac:dyDescent="0.25"/>
  <cols>
    <col min="1" max="1" width="17.42578125" bestFit="1" customWidth="1"/>
    <col min="2" max="2" width="20.7109375" bestFit="1" customWidth="1"/>
  </cols>
  <sheetData>
    <row r="3" spans="1:2" x14ac:dyDescent="0.25">
      <c r="A3" s="3" t="s">
        <v>1423</v>
      </c>
      <c r="B3" t="s">
        <v>1440</v>
      </c>
    </row>
    <row r="4" spans="1:2" x14ac:dyDescent="0.25">
      <c r="A4" s="4" t="s">
        <v>655</v>
      </c>
      <c r="B4" s="5">
        <v>1037432.4552199999</v>
      </c>
    </row>
    <row r="5" spans="1:2" x14ac:dyDescent="0.25">
      <c r="A5" s="4" t="s">
        <v>653</v>
      </c>
      <c r="B5" s="5">
        <v>882622.97854000004</v>
      </c>
    </row>
    <row r="6" spans="1:2" x14ac:dyDescent="0.25">
      <c r="A6" s="16" t="s">
        <v>1441</v>
      </c>
      <c r="B6" s="5">
        <v>249507.26559999998</v>
      </c>
    </row>
    <row r="7" spans="1:2" x14ac:dyDescent="0.25">
      <c r="A7" s="16" t="s">
        <v>1442</v>
      </c>
      <c r="B7" s="5">
        <v>356412.15493000002</v>
      </c>
    </row>
    <row r="8" spans="1:2" x14ac:dyDescent="0.25">
      <c r="A8" s="16" t="s">
        <v>1443</v>
      </c>
      <c r="B8" s="5">
        <v>276703.55800999998</v>
      </c>
    </row>
    <row r="9" spans="1:2" x14ac:dyDescent="0.25">
      <c r="A9" s="4" t="s">
        <v>659</v>
      </c>
      <c r="B9" s="5">
        <v>894790.37816999992</v>
      </c>
    </row>
    <row r="10" spans="1:2" x14ac:dyDescent="0.25">
      <c r="A10" s="16" t="s">
        <v>1441</v>
      </c>
      <c r="B10" s="5">
        <v>278199.24863999995</v>
      </c>
    </row>
    <row r="11" spans="1:2" x14ac:dyDescent="0.25">
      <c r="A11" s="16" t="s">
        <v>1442</v>
      </c>
      <c r="B11" s="5">
        <v>431317.10412000003</v>
      </c>
    </row>
    <row r="12" spans="1:2" x14ac:dyDescent="0.25">
      <c r="A12" s="16" t="s">
        <v>1443</v>
      </c>
      <c r="B12" s="5">
        <v>185274.02541</v>
      </c>
    </row>
    <row r="13" spans="1:2" x14ac:dyDescent="0.25">
      <c r="A13" s="4" t="s">
        <v>657</v>
      </c>
      <c r="B13" s="5">
        <v>799659.79288999992</v>
      </c>
    </row>
    <row r="14" spans="1:2" x14ac:dyDescent="0.25">
      <c r="A14" s="16" t="s">
        <v>1441</v>
      </c>
      <c r="B14" s="5">
        <v>269344.22399000003</v>
      </c>
    </row>
    <row r="15" spans="1:2" x14ac:dyDescent="0.25">
      <c r="A15" s="16" t="s">
        <v>1442</v>
      </c>
      <c r="B15" s="5">
        <v>332686.45244000002</v>
      </c>
    </row>
    <row r="16" spans="1:2" x14ac:dyDescent="0.25">
      <c r="A16" s="16" t="s">
        <v>1443</v>
      </c>
      <c r="B16" s="5">
        <v>197629.11645999999</v>
      </c>
    </row>
    <row r="17" spans="1:2" x14ac:dyDescent="0.25">
      <c r="A17" s="4" t="s">
        <v>656</v>
      </c>
      <c r="B17" s="5">
        <v>929424.88821999985</v>
      </c>
    </row>
    <row r="18" spans="1:2" x14ac:dyDescent="0.25">
      <c r="A18" s="16" t="s">
        <v>1441</v>
      </c>
      <c r="B18" s="5">
        <v>369878.67228999996</v>
      </c>
    </row>
    <row r="19" spans="1:2" x14ac:dyDescent="0.25">
      <c r="A19" s="16" t="s">
        <v>1442</v>
      </c>
      <c r="B19" s="5">
        <v>383309.25282000005</v>
      </c>
    </row>
    <row r="20" spans="1:2" x14ac:dyDescent="0.25">
      <c r="A20" s="16" t="s">
        <v>1443</v>
      </c>
      <c r="B20" s="5">
        <v>176236.96310999995</v>
      </c>
    </row>
    <row r="21" spans="1:2" x14ac:dyDescent="0.25">
      <c r="A21" s="4" t="s">
        <v>654</v>
      </c>
      <c r="B21" s="5">
        <v>1091932.6467799998</v>
      </c>
    </row>
    <row r="22" spans="1:2" x14ac:dyDescent="0.25">
      <c r="A22" s="16" t="s">
        <v>1441</v>
      </c>
      <c r="B22" s="5">
        <v>514768.09837999992</v>
      </c>
    </row>
    <row r="23" spans="1:2" x14ac:dyDescent="0.25">
      <c r="A23" s="16" t="s">
        <v>1442</v>
      </c>
      <c r="B23" s="5">
        <v>365031.56606999994</v>
      </c>
    </row>
    <row r="24" spans="1:2" x14ac:dyDescent="0.25">
      <c r="A24" s="16" t="s">
        <v>1443</v>
      </c>
      <c r="B24" s="5">
        <v>212132.98233</v>
      </c>
    </row>
    <row r="25" spans="1:2" x14ac:dyDescent="0.25">
      <c r="A25" s="4" t="s">
        <v>652</v>
      </c>
      <c r="B25" s="5">
        <v>854748.89269999997</v>
      </c>
    </row>
    <row r="26" spans="1:2" x14ac:dyDescent="0.25">
      <c r="A26" s="16" t="s">
        <v>1441</v>
      </c>
      <c r="B26" s="5">
        <v>196462.92159000001</v>
      </c>
    </row>
    <row r="27" spans="1:2" x14ac:dyDescent="0.25">
      <c r="A27" s="16" t="s">
        <v>1442</v>
      </c>
      <c r="B27" s="5">
        <v>370401.94355000003</v>
      </c>
    </row>
    <row r="28" spans="1:2" x14ac:dyDescent="0.25">
      <c r="A28" s="16" t="s">
        <v>1443</v>
      </c>
      <c r="B28" s="5">
        <v>287884.02756000002</v>
      </c>
    </row>
    <row r="29" spans="1:2" x14ac:dyDescent="0.25">
      <c r="A29" s="4" t="s">
        <v>650</v>
      </c>
      <c r="B29" s="5">
        <v>944224.9506499999</v>
      </c>
    </row>
    <row r="30" spans="1:2" x14ac:dyDescent="0.25">
      <c r="A30" s="16" t="s">
        <v>1441</v>
      </c>
      <c r="B30" s="5">
        <v>248171.40548999998</v>
      </c>
    </row>
    <row r="31" spans="1:2" x14ac:dyDescent="0.25">
      <c r="A31" s="16" t="s">
        <v>1442</v>
      </c>
      <c r="B31" s="5">
        <v>549520.26327999996</v>
      </c>
    </row>
    <row r="32" spans="1:2" x14ac:dyDescent="0.25">
      <c r="A32" s="16" t="s">
        <v>1443</v>
      </c>
      <c r="B32" s="5">
        <v>146533.28187999999</v>
      </c>
    </row>
    <row r="33" spans="1:2" x14ac:dyDescent="0.25">
      <c r="A33" s="4" t="s">
        <v>651</v>
      </c>
      <c r="B33" s="5">
        <v>881838.67690999992</v>
      </c>
    </row>
    <row r="34" spans="1:2" x14ac:dyDescent="0.25">
      <c r="A34" s="16" t="s">
        <v>1441</v>
      </c>
      <c r="B34" s="5">
        <v>263244.54462</v>
      </c>
    </row>
    <row r="35" spans="1:2" x14ac:dyDescent="0.25">
      <c r="A35" s="16" t="s">
        <v>1442</v>
      </c>
      <c r="B35" s="5">
        <v>276445.19975999993</v>
      </c>
    </row>
    <row r="36" spans="1:2" x14ac:dyDescent="0.25">
      <c r="A36" s="16" t="s">
        <v>1443</v>
      </c>
      <c r="B36" s="5">
        <v>342148.93253000005</v>
      </c>
    </row>
    <row r="37" spans="1:2" x14ac:dyDescent="0.25">
      <c r="A37" s="4" t="s">
        <v>661</v>
      </c>
      <c r="B37" s="5">
        <v>779637.54197999998</v>
      </c>
    </row>
    <row r="38" spans="1:2" x14ac:dyDescent="0.25">
      <c r="A38" s="16" t="s">
        <v>1441</v>
      </c>
      <c r="B38" s="5">
        <v>364401.34184000007</v>
      </c>
    </row>
    <row r="39" spans="1:2" x14ac:dyDescent="0.25">
      <c r="A39" s="16" t="s">
        <v>1442</v>
      </c>
      <c r="B39" s="5">
        <v>191518.50867000001</v>
      </c>
    </row>
    <row r="40" spans="1:2" x14ac:dyDescent="0.25">
      <c r="A40" s="16" t="s">
        <v>1443</v>
      </c>
      <c r="B40" s="5">
        <v>223717.69147000002</v>
      </c>
    </row>
    <row r="41" spans="1:2" x14ac:dyDescent="0.25">
      <c r="A41" s="4" t="s">
        <v>658</v>
      </c>
      <c r="B41" s="5">
        <v>1132653.8228199999</v>
      </c>
    </row>
    <row r="42" spans="1:2" x14ac:dyDescent="0.25">
      <c r="A42" s="16" t="s">
        <v>1441</v>
      </c>
      <c r="B42" s="5">
        <v>276400.40976000001</v>
      </c>
    </row>
    <row r="43" spans="1:2" x14ac:dyDescent="0.25">
      <c r="A43" s="16" t="s">
        <v>1442</v>
      </c>
      <c r="B43" s="5">
        <v>527273.10895999987</v>
      </c>
    </row>
    <row r="44" spans="1:2" x14ac:dyDescent="0.25">
      <c r="A44" s="16" t="s">
        <v>1443</v>
      </c>
      <c r="B44" s="5">
        <v>328980.30410000001</v>
      </c>
    </row>
    <row r="45" spans="1:2" x14ac:dyDescent="0.25">
      <c r="A45" s="4" t="s">
        <v>660</v>
      </c>
      <c r="B45" s="5">
        <v>768694.58758000005</v>
      </c>
    </row>
    <row r="46" spans="1:2" x14ac:dyDescent="0.25">
      <c r="A46" s="16" t="s">
        <v>1441</v>
      </c>
      <c r="B46" s="5">
        <v>288079.88712999999</v>
      </c>
    </row>
    <row r="47" spans="1:2" x14ac:dyDescent="0.25">
      <c r="A47" s="16" t="s">
        <v>1442</v>
      </c>
      <c r="B47" s="5">
        <v>396688.46359</v>
      </c>
    </row>
    <row r="48" spans="1:2" x14ac:dyDescent="0.25">
      <c r="A48" s="16" t="s">
        <v>1443</v>
      </c>
      <c r="B48" s="5">
        <v>83926.236860000005</v>
      </c>
    </row>
    <row r="49" spans="1:2" x14ac:dyDescent="0.25">
      <c r="A49" s="4" t="s">
        <v>1439</v>
      </c>
      <c r="B49" s="5"/>
    </row>
    <row r="50" spans="1:2" x14ac:dyDescent="0.25">
      <c r="A50" s="16" t="s">
        <v>1444</v>
      </c>
      <c r="B50" s="5"/>
    </row>
    <row r="51" spans="1:2" x14ac:dyDescent="0.25">
      <c r="A51" s="4" t="s">
        <v>1422</v>
      </c>
      <c r="B51" s="5">
        <v>10997661.612459999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6D39-EF79-42F6-B090-43D8F538696E}">
  <dimension ref="A3:E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3" width="16" bestFit="1" customWidth="1"/>
    <col min="4" max="4" width="18.28515625" bestFit="1" customWidth="1"/>
    <col min="5" max="5" width="15.42578125" bestFit="1" customWidth="1"/>
    <col min="6" max="34" width="16.28515625" bestFit="1" customWidth="1"/>
    <col min="35" max="35" width="11.28515625" bestFit="1" customWidth="1"/>
    <col min="36" max="469" width="16.28515625" bestFit="1" customWidth="1"/>
    <col min="470" max="470" width="11.28515625" bestFit="1" customWidth="1"/>
  </cols>
  <sheetData>
    <row r="3" spans="1:5" x14ac:dyDescent="0.25">
      <c r="A3" s="3" t="s">
        <v>1423</v>
      </c>
      <c r="B3" t="s">
        <v>1424</v>
      </c>
      <c r="C3" t="s">
        <v>1425</v>
      </c>
      <c r="D3" t="s">
        <v>1426</v>
      </c>
      <c r="E3" t="s">
        <v>1427</v>
      </c>
    </row>
    <row r="4" spans="1:5" x14ac:dyDescent="0.25">
      <c r="A4" s="4" t="s">
        <v>646</v>
      </c>
      <c r="B4" s="5">
        <v>116131.04</v>
      </c>
      <c r="C4" s="5">
        <v>193677.35</v>
      </c>
      <c r="D4" s="5">
        <v>17.334</v>
      </c>
      <c r="E4" s="5">
        <v>2145</v>
      </c>
    </row>
    <row r="5" spans="1:5" x14ac:dyDescent="0.25">
      <c r="A5" s="4" t="s">
        <v>648</v>
      </c>
      <c r="B5" s="5">
        <v>116882.79</v>
      </c>
      <c r="C5" s="5">
        <v>196910.07</v>
      </c>
      <c r="D5" s="5">
        <v>19.413</v>
      </c>
      <c r="E5" s="5">
        <v>2448</v>
      </c>
    </row>
    <row r="6" spans="1:5" x14ac:dyDescent="0.25">
      <c r="A6" s="4" t="s">
        <v>647</v>
      </c>
      <c r="B6" s="5">
        <v>141404.12</v>
      </c>
      <c r="C6" s="5">
        <v>236300.84</v>
      </c>
      <c r="D6" s="5">
        <v>21.689</v>
      </c>
      <c r="E6" s="5">
        <v>2540</v>
      </c>
    </row>
    <row r="7" spans="1:5" x14ac:dyDescent="0.25">
      <c r="A7" s="4" t="s">
        <v>649</v>
      </c>
      <c r="B7" s="5">
        <v>116501.04</v>
      </c>
      <c r="C7" s="5">
        <v>199210.66</v>
      </c>
      <c r="D7" s="5">
        <v>18.257999999999999</v>
      </c>
      <c r="E7" s="5">
        <v>2490</v>
      </c>
    </row>
    <row r="8" spans="1:5" x14ac:dyDescent="0.25">
      <c r="A8" s="4" t="s">
        <v>1422</v>
      </c>
      <c r="B8" s="5">
        <v>490918.99</v>
      </c>
      <c r="C8" s="5">
        <v>826098.92</v>
      </c>
      <c r="D8" s="5">
        <v>76.694000000000003</v>
      </c>
      <c r="E8" s="5">
        <v>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Original Data</vt:lpstr>
      <vt:lpstr>Brief</vt:lpstr>
      <vt:lpstr>Analysis</vt:lpstr>
      <vt:lpstr>Correct Staging Data</vt:lpstr>
      <vt:lpstr>Monthly revenue</vt:lpstr>
      <vt:lpstr>Summation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Brigid Chepkemoi</dc:creator>
  <cp:lastModifiedBy>Sue</cp:lastModifiedBy>
  <dcterms:created xsi:type="dcterms:W3CDTF">2025-09-28T10:49:35Z</dcterms:created>
  <dcterms:modified xsi:type="dcterms:W3CDTF">2026-02-05T10:07:42Z</dcterms:modified>
</cp:coreProperties>
</file>